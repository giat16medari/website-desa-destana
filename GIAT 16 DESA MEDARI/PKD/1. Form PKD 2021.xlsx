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Nilai" sheetId="1" r:id="rId5"/>
    <sheet state="visible" name="Analisa" sheetId="2" r:id="rId6"/>
    <sheet state="visible" name="Graphic" sheetId="3" r:id="rId7"/>
    <sheet state="visible" name="Rekomendasi" sheetId="4" r:id="rId8"/>
    <sheet state="hidden" name="Rekomendasi Aksi" sheetId="5" r:id="rId9"/>
  </sheets>
  <definedNames/>
  <calcPr/>
</workbook>
</file>

<file path=xl/sharedStrings.xml><?xml version="1.0" encoding="utf-8"?>
<sst xmlns="http://schemas.openxmlformats.org/spreadsheetml/2006/main" count="431" uniqueCount="405">
  <si>
    <t>REKOMENDASI KERANGKA AKSI PENINGKATAN KETANGGUHAN BENCANA</t>
  </si>
  <si>
    <t>PENILAIAN KETANGGUHAN DESA/KELURAHAN</t>
  </si>
  <si>
    <t>FORM INPUT PENILAIAN</t>
  </si>
  <si>
    <t>Tanggal</t>
  </si>
  <si>
    <t>:</t>
  </si>
  <si>
    <t>Nama Desa/Kelurahan</t>
  </si>
  <si>
    <t>Desa Medari</t>
  </si>
  <si>
    <t>Kecamatan</t>
  </si>
  <si>
    <t>KERANGKA AKSI</t>
  </si>
  <si>
    <t>Ngadirejo</t>
  </si>
  <si>
    <t>Kabupaten/Kota</t>
  </si>
  <si>
    <t>Temanggung</t>
  </si>
  <si>
    <t>Provinsi</t>
  </si>
  <si>
    <t>Jawa Tengah</t>
  </si>
  <si>
    <t>A</t>
  </si>
  <si>
    <t>KOMPONEN</t>
  </si>
  <si>
    <t>JENIS BENCANA</t>
  </si>
  <si>
    <t>Cuaca Ekstrem (Angin Kencang)</t>
  </si>
  <si>
    <t>INDIKATOR</t>
  </si>
  <si>
    <t>NILAI RESPON</t>
  </si>
  <si>
    <t>TOTAL</t>
  </si>
  <si>
    <t>ET</t>
  </si>
  <si>
    <t>MN</t>
  </si>
  <si>
    <t>IP</t>
  </si>
  <si>
    <t>YY</t>
  </si>
  <si>
    <t>HN</t>
  </si>
  <si>
    <t>WW</t>
  </si>
  <si>
    <t>IND</t>
  </si>
  <si>
    <t>ANG</t>
  </si>
  <si>
    <t>ROG</t>
  </si>
  <si>
    <t>PJS</t>
  </si>
  <si>
    <t>GGH</t>
  </si>
  <si>
    <t>GDR</t>
  </si>
  <si>
    <t>HDI</t>
  </si>
  <si>
    <t>FRZ</t>
  </si>
  <si>
    <t>VUR</t>
  </si>
  <si>
    <t>MUT</t>
  </si>
  <si>
    <t>NRL</t>
  </si>
  <si>
    <t>Nilai Kepentingan</t>
  </si>
  <si>
    <t>Bobot %</t>
  </si>
  <si>
    <t>INDEKS INDIKATOR</t>
  </si>
  <si>
    <t>LEVEL INDIKATOR</t>
  </si>
  <si>
    <t>NILAI KEPENTINGAN</t>
  </si>
  <si>
    <t>NILAI INDIKATOR</t>
  </si>
  <si>
    <t>INDEKS KOMPONEN</t>
  </si>
  <si>
    <t>INDEKS KETANGGUHAN</t>
  </si>
  <si>
    <t>Rekomendasi Aksi</t>
  </si>
  <si>
    <t>NO PERTANYAAN</t>
  </si>
  <si>
    <t>RESPON
(YA=1, TIDAK=0)</t>
  </si>
  <si>
    <t>DOKUMEN VERIFIKASI</t>
  </si>
  <si>
    <t>CATATAN DISKUSI</t>
  </si>
  <si>
    <t>LAYANAN DASAR</t>
  </si>
  <si>
    <t>Penyelenggaraan Layanan Pendidikan</t>
  </si>
  <si>
    <t>Penyelenggaraan Layanan Kesehatan</t>
  </si>
  <si>
    <t>Sarana dan Prasarana Transportasi</t>
  </si>
  <si>
    <t>Penyediaan Air Bersih</t>
  </si>
  <si>
    <t>Program dan Kegiatan Pangan &amp; Gizi</t>
  </si>
  <si>
    <t>B</t>
  </si>
  <si>
    <t xml:space="preserve">Pemberdayaan UMKM dan Peningkatan Ekonomi Melalui BUMDES </t>
  </si>
  <si>
    <t>Sarana dan Prasarana Komunikasi/Informasi</t>
  </si>
  <si>
    <t>C</t>
  </si>
  <si>
    <t>NO</t>
  </si>
  <si>
    <t>TINGKAT KETANGGUHAN</t>
  </si>
  <si>
    <t>Tingkat ketangguhan sebuah desa/kelurahan dalam menghadapi bencana dibagi kedalam tiga kriteria, yaitu:</t>
  </si>
  <si>
    <t>D</t>
  </si>
  <si>
    <t>Layanan Dasar</t>
  </si>
  <si>
    <t>Pelayanan Administrasi dan Kependudukan</t>
  </si>
  <si>
    <t>Peraturan/Kegiatan Perlindungan dan Pengelolaan Lingkungan Hidup</t>
  </si>
  <si>
    <t>Desa/Kelurahan Tangguh Bencana Utama</t>
  </si>
  <si>
    <t>&gt; 83,33</t>
  </si>
  <si>
    <t>Peraturan dan Kebijakan PB</t>
  </si>
  <si>
    <t>Desa/Kelurahan Tangguh Bencana Madya</t>
  </si>
  <si>
    <t>Peraturan dan Kegiatan Keagamaan</t>
  </si>
  <si>
    <t>58,33 - 83,33</t>
  </si>
  <si>
    <t>E</t>
  </si>
  <si>
    <t>Pencegahan dan Mitigasi</t>
  </si>
  <si>
    <t>Desa/Kelurahan Tangguh Bencana Pratama</t>
  </si>
  <si>
    <t>&lt; 58,33</t>
  </si>
  <si>
    <t>Kesiapsiagaan Darurat</t>
  </si>
  <si>
    <t>Peraturan dan Kegiatan Kebudayan</t>
  </si>
  <si>
    <t>Kesiapsiagaan Pemulihan</t>
  </si>
  <si>
    <t>Peraturan dan Kegiatan Perlindungan Keamanan</t>
  </si>
  <si>
    <t>Peraturan dan Kegiatan Pemberdayaan Perempuan dan Perlindungan Anak</t>
  </si>
  <si>
    <t>Layanan Khusus (Difabel)</t>
  </si>
  <si>
    <t>PERATURAN DAN KEBIJAKAN PENANGGULANGAN BENCANA</t>
  </si>
  <si>
    <t xml:space="preserve">INDEKS PER KOMPONEN </t>
  </si>
  <si>
    <t>Pengkajian Risiko Bencana</t>
  </si>
  <si>
    <t>PENILAIAN KETANGGUHAN BENCANA</t>
  </si>
  <si>
    <t>TAHUN</t>
  </si>
  <si>
    <t>Rencana Penanggulangan Bencana</t>
  </si>
  <si>
    <t>Pelatihan Penanggulangan Bencana</t>
  </si>
  <si>
    <t>Kelembagaan PB (Kelompok/Organisasi Penanggulangan Bencana)</t>
  </si>
  <si>
    <t>Bantuan/Kerjasama Pelaksanaan Kegiatan Penanggulangan Bencana</t>
  </si>
  <si>
    <t>PENCEGAHAN DAN MITIGASI</t>
  </si>
  <si>
    <t>Pencegahan Bencana</t>
  </si>
  <si>
    <t>Mitigasi Bencana</t>
  </si>
  <si>
    <t>Sosialisasi Pengetahuan Kebencanaan</t>
  </si>
  <si>
    <t>KESIAPSIAGAAN DARURAT</t>
  </si>
  <si>
    <t>Peringatan Bahaya</t>
  </si>
  <si>
    <t>Penyebarluasan Peringatan Bahaya</t>
  </si>
  <si>
    <t>Rencana Evakuasi</t>
  </si>
  <si>
    <t>Jalur Evakuasi</t>
  </si>
  <si>
    <t>Tempat Pengungsian</t>
  </si>
  <si>
    <t>Uji Kesiapsiagaan/ Simulasi</t>
  </si>
  <si>
    <t>KESIAPSIAGAAN PEMULIHAN</t>
  </si>
  <si>
    <t>Mekanisme Penilaian Pasca Bencana Secara Mandiri</t>
  </si>
  <si>
    <t>Mekanisme Pemulihan Dini Mandiri</t>
  </si>
  <si>
    <t>Mekanisme Pengelolaan Bantuan Secara Mandiri yang Transparan dan Akuntabel</t>
  </si>
  <si>
    <t>Membangun Kembali dengan Lebih Baik</t>
  </si>
  <si>
    <t>Komponen</t>
  </si>
  <si>
    <t xml:space="preserve">Indikator  </t>
  </si>
  <si>
    <t>Pertanyaan</t>
  </si>
  <si>
    <t>Indikator 1. Penyelenggaraan Layanan Pendidikan</t>
  </si>
  <si>
    <t>Mas Mino</t>
  </si>
  <si>
    <t>1. Apakah di Desa/Kelurahan terselenggara layanan pendidikan formal atau non formal?</t>
  </si>
  <si>
    <t>Mengusulkan penyelenggaraan layanan pendidikan melalui mekanisme Musrenbang Desa/Kelurahan hingga Musrenbang Kabupaten/Kota, sesuai SPM bidang pendidikan.</t>
  </si>
  <si>
    <t xml:space="preserve">2. Apakah penyelenggaraan layanan pendidikan tersebut sesuai harapan/kebutuhan? </t>
  </si>
  <si>
    <t>Melakukan evaluasi, perencanaan dan pelaksanaan perbaikan penyelenggaraan layanan pendidikan.</t>
  </si>
  <si>
    <t>3. Apakah pemerintah Desa/Kelurahan mengalokasikan anggaran untuk keberlanjutan penyelenggaraan  layanan pendidikan tersebut?</t>
  </si>
  <si>
    <t>Mengusulkan alokasi anggaran melalui mekanisme Musrenbang atau dalam musyawarah penyusunan RKPDes/Kel.</t>
  </si>
  <si>
    <t>4. Apakah pemerintah Desa/Kelurahan bekerjasama dengan pihak lan dalam pengembangan/peningkatan penyelenggaraan layanan pendidikan tersebut?</t>
  </si>
  <si>
    <t>Melakukan kerjasama dengan dinas/lembaga/organisasi untuk indentifikasi kebutuhan, perencanaan dan pelaksanaan  pengembangan/peningkatan penyelenggaraan layanan pendidikan formal/non formal di Desa/Kelurahan.</t>
  </si>
  <si>
    <t>Indikator 2. Penyelenggaraan Layanan Kesehatan</t>
  </si>
  <si>
    <t>5. Apakah di Desa/Kelurahan terselenggara layanan kesehatan?</t>
  </si>
  <si>
    <t>Pengusulan penyelenggaraan layanan kesehatan  melalui mekanisme Musrenbang Desa/Kelurahan hingga Musrenbang Kabupaten/Kota, sesuai SPM bidang pendidikan</t>
  </si>
  <si>
    <t>6. Apakah penyelenggaraan layanan kesehatan tersebut bermanfaat/bisa diandalkan ?</t>
  </si>
  <si>
    <t>Melakuan evaluasi, perencanaan dan pelaksanaan perbaikan penyelenggaraan layanan kesehatan</t>
  </si>
  <si>
    <t>7. Apakah pemerintah Desa/Kelurahan mengalokasikan anggaran untuk keberlanjutan penyelenggaraan  layanan kesehatan tersebut?</t>
  </si>
  <si>
    <t>Mengusulkan alokasi anggaran mekanisme Musrenbang atau dalam musyawarah penyusunan RPJMDes/RKPDes/Kel</t>
  </si>
  <si>
    <t>8. Apakah pemerintah Desa/Kelurahan bekerjasama dengan pihak lain untuk pengembangan/peningkatan penyelenggaraan  layanan kesehatan tersebut?</t>
  </si>
  <si>
    <t>Melakukan kerjasama dengan dinas/lembaga/organisasi untuk indentifikasi kebutuhan, perencanaan dan pelaksanaan  pengembangan/peningkatan penyelenggaraan layanan kesehatan formal/non formal di Desa/Kelurahan.</t>
  </si>
  <si>
    <t>Indikator 3. Sarana dan Prasarana Transportasi</t>
  </si>
  <si>
    <t>Pudji</t>
  </si>
  <si>
    <t>9. Apakah di Desa/Kelurahan tersedia sarana/prasarana transportasi?</t>
  </si>
  <si>
    <t>Mengusulkan program penyediaan sarana/prasarana transportasi</t>
  </si>
  <si>
    <t>10. Apakah sarana/prasarana transportasi tersebut dapat diandalkan?</t>
  </si>
  <si>
    <t>Melakukan evaluasi, perencanaan dan pelaksanaan layanan sarana/prasarana transportasi</t>
  </si>
  <si>
    <t>11. Apakah pemerintah Desa/Kelurahan mengalokasikan anggaran untuk keberlanjutan sarana/prasarana transportasi tersebut?</t>
  </si>
  <si>
    <t>Mengusulkan alokasi anggaran melalui mekanisme Musrenbang Desa/Kelurahan</t>
  </si>
  <si>
    <t>12. Apakah pemerintah Desa/Kelurahan bekerjasama dengan pihak lain untuk pengembangan/peningkatan sarana/prasarana transportasi tersebut?</t>
  </si>
  <si>
    <t>Mengusulkan kerjasama dengan dinas/lembaga/organisasi untuk identifikasi kebutuhan, perencanaan dan pelaksanaan penyelenggaraan program peningkatan sarana/prasarana transportasi</t>
  </si>
  <si>
    <t>Indikator 4. Penyediaan Air Bersih</t>
  </si>
  <si>
    <t>13. Apakah di Desa/Kelurahan menyediakan air bersih?</t>
  </si>
  <si>
    <t>Mengusulkan program penyediaan air bersih melalui mekanisme Musrenbang Desa/Kelurahan</t>
  </si>
  <si>
    <t>14. Apakah jumlah dan kualitas penyediaan air bersih tersebut dapat memenuhi kebutuhan?</t>
  </si>
  <si>
    <t>Melakukan evaluasi, perencanaan dan pelaksanaan program layanan air bersih</t>
  </si>
  <si>
    <t>15. Apakah pemerintah Desa/Kelurahan mengalokasikan anggaran untuk keberlanjutan penyediaan air bersih tersebut?</t>
  </si>
  <si>
    <t xml:space="preserve">Mengusulkan alokasi anggaran melalui mekanisme Musrenbang Desa/Kelurahan </t>
  </si>
  <si>
    <t>16. Apakah pemerintah Desa/Kelurahan bekerjasama dengan pihak lain pengembangan/peningkatan penyediaan air bersih tersebut?</t>
  </si>
  <si>
    <t>Mengusulkan kerjasama dengan dinas/lembaga/organisasi untuk identifikasi kebutuhan, perencanaan dan pelaksanaan penyelenggaraan program layanan air bersih</t>
  </si>
  <si>
    <t>Indikator 5. Program dan Kegiatan Pangan &amp; Gizi</t>
  </si>
  <si>
    <t>Mbak Heni</t>
  </si>
  <si>
    <t>17 Apakah pemerintah Desa/Kelurahan menyelenggarakan program/kegiatan pangan dan gizi?</t>
  </si>
  <si>
    <t xml:space="preserve">Mengusulkan program/kegiatan pangan dan gizi memalui mekanisme Musrenbang Desa/Kelurahan </t>
  </si>
  <si>
    <t>18 Apakah program/kegiatan pangan &amp; gizi tersebut dapat memenuhi kebutuhan?</t>
  </si>
  <si>
    <t>Melakukan evaluasi dan monitoring dalam perencanaan dan pelaksanaan program/kegiatan pangan dan gizi</t>
  </si>
  <si>
    <t>19 Apakah pemerintah Desa/Kelurahan mengalokasikan anggaran untuk keberlanjutan program/kegiatan pangan dan gizi tersebut?</t>
  </si>
  <si>
    <t>Mengusulkan anggaran program/kegiatan pangan dan gizi melalui mekanisme Musrenbang Desa/kelurahan</t>
  </si>
  <si>
    <t>20 Apakah pemerintah Desa/Kelurahan bekerjasama dengan pihak lain untuk pengembangan/peningkatan program/kegiatan pangan dan gizi tersebut?</t>
  </si>
  <si>
    <t>Melakukan kerjasama dengan berbagai pihak baik OPD terkait, akademisi, praktisi pangan dan gizi serta lembaga lainnya..</t>
  </si>
  <si>
    <t xml:space="preserve">Indikator 6. Pemberdayaan UMKM dan Peningkatan Ekonomi Melalui BUMDES </t>
  </si>
  <si>
    <t>21 Apakah pemerintah Desa/Kelurahan menyelenggarakan program pemberdayaan UMKM dan/atau pengembangan ekonomi melalui BUMDES?</t>
  </si>
  <si>
    <t>Mengusulkan program pemberdayaan UMKM dan/atau pengembangan ekonomi melalui BUMDES dalam Musrenbang Des/Kelurahan.</t>
  </si>
  <si>
    <t>22 Apakah program pemberdayaan UMKM dan/atau pengembangan ekonomi melalui BUMDES bermanfaat?</t>
  </si>
  <si>
    <t>Melakukan pelatihan dan pendampingan bagi UMKM dan/atau pengembangan ekonomi melalui BUMDES</t>
  </si>
  <si>
    <t>23. Apakah pemerintah Desa/Kelurahan mengalokasikan anggaran untuk keberlanjutan program pemberdayaan UMKM dan/atau pengembangan ekonomi melalui BUMDES?</t>
  </si>
  <si>
    <t>Megusulkan aggaran program pemberdayaan UMKM dan/atau pengembangan ekonomi melalui RKP Desamaupun RKP Kelurahan</t>
  </si>
  <si>
    <t>24 Apakah pemerintah Desa/Kelurahan bekerjasama dengan pihak lain untuk  pengembangan dan peningkatan program pemberdayaan UMKM dan/atau pengembangan ekonomi melalui BUMDES?</t>
  </si>
  <si>
    <t>Melakukan kerjasama dengan berbagai pihak baik OPD terkait, Akademisi, dunia usaha maupun  Asosiasi layanan pengembangan ekonomi dan bisnis lainnya.</t>
  </si>
  <si>
    <t>Indikator 7. Sarana dan Prasarana Komunikasi/Informasi</t>
  </si>
  <si>
    <t>Ronggo</t>
  </si>
  <si>
    <t>25. Apakah di Desa/Kelurahan terdapat/tersedia sarana dan prasarana komunikasi/informasi?</t>
  </si>
  <si>
    <t>Mengusulkan penyediaan sarana dan prasarana komunikasi/informasi dalam musrenbangdes maupun musrenbangkel sesuai SPM sarana dan prasarana komunikasi/informasi</t>
  </si>
  <si>
    <t>26. Apakah sarana dan prasarana komunikasi/informasi tersebut dapat diandalkan?</t>
  </si>
  <si>
    <t>Melakukan monitoring, evaluasi dan perencanaan terhadap optimalnya sarana dan prasarana komunikasi/informasi</t>
  </si>
  <si>
    <t>27. Apakah pemerintah Desa/Kelurahan mengalokasikan anggaran untuk keberlanjutan sarana dan prasarana komunikasi/informasi tersebut?</t>
  </si>
  <si>
    <t>Mengusulkan anggaran untuk penyediaan sarana dan prasarana komunikasi/informasi dalam RKPDes maupun RKP Kelurahan</t>
  </si>
  <si>
    <t>28. Apakah pemerintah Desa/Kelurahan bekerjasama dengan pihak lain dalam pengembangan/peningkatan sarana dan prasarana komunikasi/informasi tersebut?</t>
  </si>
  <si>
    <t>Melakukan kerjasama dengan dinas/lembaga/organisasi untuk indentifikasi kebutuhan, perencanaan dan pelaksanaan  pengembangan/peningkatan penyelenggaraan sarana dan prasarana komunikasi/informasi di Desa/Kelurahan.</t>
  </si>
  <si>
    <t>Indikator 8. Pelayanan Administrasi dan Kependudukan</t>
  </si>
  <si>
    <t>29. Apakah pemerintah Desa/Kelurahan menyelenggarakan pelayanan administrasi dan kependudukan?</t>
  </si>
  <si>
    <t>Mengusulkan penyelenggaraan pelayanan administrasi dan kependudukan dalam musrenbangdes maupun musrenbangkel sesuai dengan SPM pelayanan adminstrasi dan kependudukan</t>
  </si>
  <si>
    <t>30. Apakah penyelenggaraan pelayanan administrasi dan kependudukan tersebut dapat diandalkan (cepat dan mudah)?</t>
  </si>
  <si>
    <t>Melakukan monitoring, evaluasi, perencanaan dan pelaksanaan terhadap pelayanan administrasi dan kependudukan</t>
  </si>
  <si>
    <t xml:space="preserve">31. Apakah pemerintah Desa/Kelurahan mengalokasikan anggaran untuk keberlanjutan menyelenggarakan pelayanan administrasi dan kependudukan tersebut? </t>
  </si>
  <si>
    <t>Mengusulkan anggaran untuk keberlanjutan penyelenggaraan pelayanan administrasi dan kependudukan dalam RKPDes maupun RKP Kelurahan</t>
  </si>
  <si>
    <t>32. Apakah pemerintah Desa/Kelurahan bekerjasama dengan pihak lain dalam pengembangan/peningkatan menyelenggarakan pelayanan administrasi dan kependudukan tersebut?</t>
  </si>
  <si>
    <t>Melakukan kerjasama dengan dinas/lembaga/organisasi untuk indentifikasi kebutuhan, perencanaan dan pelaksanaan  pengembangan/peningkatan penyelenggaraan pelayanan administrasi dan kependudukan di Desa/Kelurahan.</t>
  </si>
  <si>
    <t>Indikator 9. Peraturan/Kegiatan Perlindungan dan Pengelolaan Lingkungan Hidup</t>
  </si>
  <si>
    <t>Gandar</t>
  </si>
  <si>
    <t>33. Apakah pemerintah Desa/Kelurahan memiliki peraturan atau kegiatan perlindungan dan pengelolaan lingkungan hidup?</t>
  </si>
  <si>
    <t>Pengusulan penyelenggaraan layanan perlindungan dan pengelolaan lingkungan hidup melalui mekanisme Musrenbang Desa/Kelurahan hingga Musrenbang Kabupaten/Kota, sesuai SPM bidang lingkungan hidup.</t>
  </si>
  <si>
    <t>34. Apakah peraturan atau kegiatan perlindungan dan pengelolaan lingkungan hidup tersebut bermanfaat?</t>
  </si>
  <si>
    <t>Melakuan evaluasi, perencanaan dan pelaksanaan perbaikan penyelenggaraan layanan perlindungan dan pengelolaan lingkungan hidup.</t>
  </si>
  <si>
    <t>35. Apakah pemerintah Desa/Kelurahan mengalokasikan anggaran untuk keberlanjutan perlindungan dan pengelolaan lingkungan hidup tersebut?</t>
  </si>
  <si>
    <t>Pengusulan alokasi anggaran mekanisme Musrenbang atau dalam musyawarah penyusunan RKPDes/Kel.</t>
  </si>
  <si>
    <t>36. Apakah pemerintah Desa/Kelurahan bekerjasama dengan pihak lain dalam pengembangan/peningkatan perlindungan dan pengelolaan lingkungan hidup tersebut?</t>
  </si>
  <si>
    <t>Melakukan kerjasama dengan dinas/lembaga/organisasi untuk indentifikasi kebutuhan, perencanaan dan pelaksanaan pengembangan/peningkatan penyelenggaraan layanan perlindungan dan pengelolaan lingkungan hidup di Desa/Kelurahan.</t>
  </si>
  <si>
    <t>Indikator 10. Peraturan dan Kegiatan Keagamaan</t>
  </si>
  <si>
    <t>37. Apakah pemerintah di Desa/Kelurahan memiliki peraturan atau kegiatan keagamaan?</t>
  </si>
  <si>
    <t>Pengusulan penyelenggaraan layanan keagamaan melalui mekanisme Musrenbang Desa/Kelurahan hingga Musrenbang Kabupaten/Kota, sesuai SPM bidang keagamaan.</t>
  </si>
  <si>
    <t>38. Apakah peraturan dan kegiatan keagamaan tersebut bermanfaat?</t>
  </si>
  <si>
    <t>Melakukan evaluasi, perencanaan dan pelaksanaan perbaikan penyelenggaraan layanan keagamaan.</t>
  </si>
  <si>
    <t>39. Apakah pemerintah Desa/Kelurahan mengalokasikan anggaran untuk penerapan aturan atau keberlanjutan peraturan dan kegiatan keagamaan tersebut?</t>
  </si>
  <si>
    <t>Pengusulan alokasi anggaran mekanisme Musrenbang atau dalam musyawarah penyusunan RKPDes/Kel</t>
  </si>
  <si>
    <t>40. Apakah pemerintah Desa/Kelurahan bekerjasama dengan pihak lain pengembangan/peningkatan peraturan dan kegiatan keagamaan tersebut?</t>
  </si>
  <si>
    <t>Melakukan kerjasama dengan dinas/lembaga/organisasi untuk indentifikasi kebutuhan, perencanaan dan pelaksanaan pengembangan/peningkatan penyelenggaraan layanan keagamaan di Desa/Kelurahan.</t>
  </si>
  <si>
    <t>Indikator 11. Peraturan dan Kegiatan Kebudayan</t>
  </si>
  <si>
    <t>Wawan</t>
  </si>
  <si>
    <t>41. Apakah pemerintah Desa/Kelurahan memiliki peraturan atau kegiatan kebudayaan?</t>
  </si>
  <si>
    <t>Mengusulkan penyusunan peraturan desa tentang kebudayaan, baik melalui Kepala Desa atau Badan Permusyawaratan Desa (BPD) dan mengusulkan kegiatan kebudayaan melalui Musrembang Desa/Kelurahan</t>
  </si>
  <si>
    <t>42. Apakah peraturan atau kegiatan kebudayaan tersebut bermanfaat, sesuai kebutuhan?</t>
  </si>
  <si>
    <t>Melakukan evaluasi kegiatan kebudayaan dan  perbaikan kegiatan kebudayaan yang memberikan manfaat kepada masyarakat</t>
  </si>
  <si>
    <t>43. Apakah pemerintah Desa/kelurahan mengalokasikan anggaran untuk penerapan aturan atau kegiatan budaya tersebut?</t>
  </si>
  <si>
    <t>Mengusulkan alokasi anggaran desa untuk penerapan atau melaksanakan kegiatan budaya dalam RKP Desa atau Kelurahan</t>
  </si>
  <si>
    <t>44. Apakah pemerintah Desa/Kelurahan bekerjasama dengan pihak lain dalam pengembangan/peningkatan kegiatan budaya tersebut?</t>
  </si>
  <si>
    <t>Melakukan kerjasama dengan Dinas/lembaga/organisasi untuk mengembangkan dan meningkatkan kegiatan kebudayaan</t>
  </si>
  <si>
    <t>Indikator 12. Peraturan dan Kegiatan Perlindungan Keamanan</t>
  </si>
  <si>
    <t>45. Apakah pemerintah Desa/Kelurahan memiliki peraturan atau kegiatan perlindungan keamanan?</t>
  </si>
  <si>
    <t>Mengusulkan penyusunan peraturan desa tentang perlindungan keamanan Desa, baik melalui Kepala Desa atau Badan Permusyawaratan Desa (BPD) dan mengusulkan kegiatan perlindungan keamanan melalui Musrembang Desa/Kelurahan</t>
  </si>
  <si>
    <t>46. Apakah peraturan dan kegiatan perlindungan keamanan tersebut bermanfaat?</t>
  </si>
  <si>
    <t>Melakukan evaluasi kegiatan perlindungan keamanan dan perbaikan kegiaatan perlindungan keamanan yang memberikan manfaat kepada masyarakat</t>
  </si>
  <si>
    <t>47. Apakah pemerintah Desa/Kelurahan mengalokasikan anggaran untuk keberlanjutan penerapan aturan dan pelaksanaan kegiatan perlindungan keamanan tersebut?</t>
  </si>
  <si>
    <t>Mengusulkan alokasi anggaran desa untuk penerapan atau melaksanakan kegiatan perlindungan keamanan dalam RKP Desa atau Kelurahan</t>
  </si>
  <si>
    <t>48. Apakah pemerintah Desa/kelurahan bekerjasama dengan pihak lain dalam pengembangan/peningkatan perlindungan keamanan tersebut?</t>
  </si>
  <si>
    <t>Melakukan kerjasama dengan Dinas/lembaga/organisasi untuk mengembangkan dan meningkatkan kegiatan perlindungan keamanan</t>
  </si>
  <si>
    <t>Indikator 13. Peraturan dan Kegiatan Pemberdayaan Perempuan dan Perlindungan Anak</t>
  </si>
  <si>
    <t>Ipung</t>
  </si>
  <si>
    <t>49. Apakah pemerintah Desa/Kelurahan memiliki aturan atau kegiatan pemberdayaan perempuan dan perlindungan anak?</t>
  </si>
  <si>
    <t xml:space="preserve">Mengusulkan pembentukan lembaga, penyelenggaraan kegiatan dan penyusunan peraturan tentang pemberdayaan peremuan dan perlindungan anak </t>
  </si>
  <si>
    <t>50. Apakan Desa/Kelurahan aturan atau kegiatan pemberdayaan perempuan dan perlindungan anak tersebut bermanfaat?</t>
  </si>
  <si>
    <t xml:space="preserve">Melakuan evaluasi, perencanaan dan pelaksanaan perbaikan kelembagaan, kegiatan dan peraturan pemberdayaan perempuan dan perlindungan anak </t>
  </si>
  <si>
    <t>51. Apakan pemerintah Desa/Kelurahan mengalokasikan anggaran untuk keberlanjutan  pemberdayaan perempuan dan perlindungan anak tersebut?</t>
  </si>
  <si>
    <t>Mengusulkan alokasi anggaran untuk pemberdayaan perempuan dan perlindungan anak melalui mekanisme Musrenbang atau dalam musyawarah penyusunan RKPDes/Kel</t>
  </si>
  <si>
    <t>52. Apakan pemerintah Desa/Kelurahan bekerjasama dengan pihak lain untuk pengembangan/peningkatan  pemberdayaan perempuan dan perlindungan anak tersebut?</t>
  </si>
  <si>
    <t xml:space="preserve">Melakukan kerjasama dengan dinas/lembaga/organisasi untuk indentifikasi kebutuhan, perencanaan dan pelaksanaan  pengembangan/peningkatan pemberdayaan perempuan dan perlindungan anak </t>
  </si>
  <si>
    <t>Indikator 14. Layanan Khusus Difabel</t>
  </si>
  <si>
    <t>53. Apakah pemerintah Desa/Kelurahan memiliki aturan atau kegiatan layanan khusus penyandang difabel?</t>
  </si>
  <si>
    <t xml:space="preserve">Mengusulkan pembentukan lembaga, penyelenggaraan kegiatan dan penyusunan peraturan untuk layanan khusus difabel </t>
  </si>
  <si>
    <t>Melakuan evaluasi, perencanaan dan pelaksanaan perbaikan kelembagaan, kegiatan dan peraturan layanan khusus difabel</t>
  </si>
  <si>
    <t>Mengusulkan alokasi anggaran untuk layanan khusus difabel melalui mekanisme Musrenbang atau dalam musyawarah penyusunan RKPDes/Kel</t>
  </si>
  <si>
    <t>Melakukan kerjasama dengan dinas/lembaga/organisasi untuk indentifikasi kebutuhan, perencanaan dan pelaksanaan  pengembangan/peningkatan layanan khusus difabel</t>
  </si>
  <si>
    <t>Indikator 15. Pengkajian Risiko Bencana</t>
  </si>
  <si>
    <t>Gigih</t>
  </si>
  <si>
    <t>57. Apakah pemerintah Desa/Kelurahan telah melakukan pengkajian risiko bencana?</t>
  </si>
  <si>
    <t>Mengusulkan pengkajian risiko bencana melalui mekanisme Musrenbang Desa/Kelurahan.</t>
  </si>
  <si>
    <t>Melakuan evaluasi, perencanaan dan pelaksanaan perbaikan kajian risiko bencana.</t>
  </si>
  <si>
    <t>59. Apakah pemerintah Desa/Kelurahan mengalokasikan anggaran untuk pembaruan pengkajian risiko bencana tersebut?</t>
  </si>
  <si>
    <t>Mengusulkan alokasi anggaran mekanisme Musrenbang atau dalam musyawarah penyusunan RKPDes/Kel.</t>
  </si>
  <si>
    <t>60. Apakah pemerintah Desa/Kelurahan bekerjasama dengan pihak lain untuk pengembangan/peningkatan pengkajian risiko bencana?</t>
  </si>
  <si>
    <t>Melakukan kerjasama dengan dinas/lembaga/organisasi untuk melakukan pengkajian risiko bencana di Desa/Kelurahan.</t>
  </si>
  <si>
    <t>Indikator 16. Rencana Penanggulangan Bencana</t>
  </si>
  <si>
    <t>Anggoro</t>
  </si>
  <si>
    <t>61. Apakah pemerintah Desa/Kelurahan memiliki Rencana Penanggulangan Bencana?</t>
  </si>
  <si>
    <t>Mengusulkan kegiatan penyusunan dokumen RPB menggunakan anggaran desa.</t>
  </si>
  <si>
    <t>Melakukan evaluasi terhadap penyusunan dokumen RPB</t>
  </si>
  <si>
    <t>63. Apakah pemerintah Desa/Kelurahan mengalokasikan anggaran untuk keberlanjutan penerapan Rencana Penanggulangan Bencana tersebut?</t>
  </si>
  <si>
    <t>Mengusulkan alokasi anggaran untuk penyusunan RPB melalui mekanisme musrenbang.</t>
  </si>
  <si>
    <t>64. Apakah pemerintah Desa/Kelurahan bekerjasama dengan pihak lain dalam pengembangan/peningkatan pelaksanaan rencana penanggulangan bencana tersebut?</t>
  </si>
  <si>
    <t>Melakukan kerjasama dengan pihak lain untuk penyusunan dokumen RPB.</t>
  </si>
  <si>
    <t>Indikator 17. Pelatihan Penanggulangan Bencana</t>
  </si>
  <si>
    <t>Yugyas</t>
  </si>
  <si>
    <t>65. Apakah pemerintah Desa/Kelurahan menyelenggarakan latihan-latihan penanggulangan bencana?</t>
  </si>
  <si>
    <t>Mengusulkan program dan kegiatan pelatihan penanggulangan bencana dalam RPJMDesa/Kelurahan melalui musrenbangdes/kel</t>
  </si>
  <si>
    <t>66. Apakah latihan-latihan penanggulangan bencana tersebut bermanfaat?</t>
  </si>
  <si>
    <t>Mengevaluasi penyelenggaraan pelatihan penanggulangan bencana: topik dan metode pelaksanaan</t>
  </si>
  <si>
    <t>67. Apakah pemerintah Desa/Kelurahan mengalokasikan anggaran untuk keberlanjutan latihan-latihan penanggulangan bencana?</t>
  </si>
  <si>
    <t>Mengalokasikan anggaran kegiatan pelatihan penanggulangan bencana dalam APBDesa/Kelurahan.</t>
  </si>
  <si>
    <t>68. Apakah pemerintah Desa/Kelurahan bekerjasama dengan pihak lain dalam pengembangan/peningkatan latihan-latihan penanggulangan bencana?</t>
  </si>
  <si>
    <t>Menjalin kerjasama penyelenggaraan pelatihan penanggulangan bencana dengan pihak-pihak lain.</t>
  </si>
  <si>
    <t>Indikator 18. Kelembagaan PB (Kelompok/Organisasi Penanggulangan Bencana)</t>
  </si>
  <si>
    <t>Indra</t>
  </si>
  <si>
    <t>69. Apakah pemerintah Desa/Kelurahan telah memiliki/membentuk kelompok atau organisasi penanggulangan bencana?</t>
  </si>
  <si>
    <t>Mengusulkan pembentukan organisasi/kelompok Penanggulangan Bencana Desa melalui Musrenbang</t>
  </si>
  <si>
    <t>70. Apakah kelompok atau organisasi penanggulangan bencana tersebut bermanfaat?</t>
  </si>
  <si>
    <t xml:space="preserve">Melakukan evaluasi bersama secara rutin terhadap organisasi/kelompok Penanggulangan Bencana Desa </t>
  </si>
  <si>
    <t>71. Apakah pemerintah Desa/Kelurahan mengalokasikan anggaran untuk keberlanjutan kelompok/organisasi penanggulangan bencana tersebut?</t>
  </si>
  <si>
    <t xml:space="preserve">Mengusulkan penganggaran dari Dana Desa melalui Musrenbang supaya organisasi/kelompok Penanggulangan Bencana Desa bisa mandiri </t>
  </si>
  <si>
    <t>72. Apakah pemerintah Desa/Kelurahan bekerjasama dengan pihak lain dalam pengembangan/peningkatan kelompok/organisasi penanggulangan bencana tersebut?</t>
  </si>
  <si>
    <t xml:space="preserve">Ada kerjasama antar pihak untuk mendukung pengembangan/peningkatan kelompok/organisasi  penanggulangan bencana Desa </t>
  </si>
  <si>
    <t>Indikator 19. Bantuan/Kerjasama Pelaksanaan Kegiatan Penanggulangan Bencana</t>
  </si>
  <si>
    <t>73. Apakah pemerintah Desa/Kelurahan menerima bantuan atau kerjasama dengan pihak luar dalam pelaksanaan kegiatan penanggulangan bencana?</t>
  </si>
  <si>
    <t>Mengusulkan ada Standart Operasional Prosedure atau sejenisnya mengenai kerjasama dengan pihak luar dalam pelaksanaan kegiatan penanggulangan bencana</t>
  </si>
  <si>
    <t>74. Apakah bantuan atau kerjasama kegiatan penanggulangan bencana tersebut bermanfaat?</t>
  </si>
  <si>
    <t xml:space="preserve">Mengevaluasi penyelenggaraan Standart Operasional Prosedur kerjasama kegiatan penanggulangan bencana </t>
  </si>
  <si>
    <t>75. Apakah pemerintah Desa/Kelurahan mengalokasikan anggaran untuk keberlanjutan kegiatan hasil bantuan atau kerjasama tersebut?</t>
  </si>
  <si>
    <t xml:space="preserve">Mengusulkan evaluasi secara rutin ada pengalokasian anggaran untuk keberlanjutan sesuai dengan dokumen RPJMDesa </t>
  </si>
  <si>
    <t>76. Apakah pemerintah Desa/Kelurahan meningkatkan kerjasama dengan pihak lain dalam kegiatan penanggulangan bencana?</t>
  </si>
  <si>
    <t>Indikator 20. Pencegahan Bencana</t>
  </si>
  <si>
    <t>77. Apakah telah dilakukan kegiatan pencegahan bencana?</t>
  </si>
  <si>
    <t>Mengusulkan kegiatan pencegahan bencana menggunakan anggaran desa.</t>
  </si>
  <si>
    <t xml:space="preserve">78. Apakah kegiatan pencegahan bencana tersebut bermanfaat/bisa diandalkan? </t>
  </si>
  <si>
    <t>Melakukan evaluasi terhadap aksi-aksi pencegahan bencana yang telah dilakukan.</t>
  </si>
  <si>
    <t xml:space="preserve">79. Apakah pemerintah Desa/Kelurahan mengalokasikan anggaran untuk keberlanjutan penyelenggaraan kegiatan pencegahan bencana? </t>
  </si>
  <si>
    <t>Mengusulkan alokasi anggaran untuk kegiatan pencegahan bencana melalui mekanisme musrenbang.</t>
  </si>
  <si>
    <t xml:space="preserve">80. Apakah pemerintah Desa/Kelurahan bekerjasama dengan pihak lain dalam melaksanakan kegiatan pencegahan bencana? </t>
  </si>
  <si>
    <t>Melakukan kerjasama dengan pihak lain dalam melakukan kegiatan pencegahan bencana.</t>
  </si>
  <si>
    <t>Indikator 21.  Mitigasi Bencana</t>
  </si>
  <si>
    <t>81. Apakah telah dilakukan kegiatan mitigasi bencana?</t>
  </si>
  <si>
    <t>Mengusulkan kegiatan mitigasi bencana menggunakan anggaran desa.</t>
  </si>
  <si>
    <t xml:space="preserve">82. Apakah kegiatan mitigasi bencana tersebut bermanfaat/bisa diandalkan? </t>
  </si>
  <si>
    <t>Melakukan evaluasi terhadap aksi-aksi mitigasi bencana yang telah dilakukan.</t>
  </si>
  <si>
    <t xml:space="preserve">83. Apakah pemerintah Desa/Kelurahan mengalokasikan anggaran untuk keberlanjutan penyelenggaraan kegiatan mitigasi bencana? </t>
  </si>
  <si>
    <t>Mengusulkan alokasi anggaran untuk kegiatan mitigasi bencana melalui mekanisme musrenbang.</t>
  </si>
  <si>
    <t>84. Apakah pemerintah Desa/Kelurahan bekerjasama dengan pihak lain dalam melaksanakan kegiatan mitigasi bencana?</t>
  </si>
  <si>
    <t xml:space="preserve"> Melakukan kerjasama dengan pihak lain dalam melakukan kegiatan mitigasi bencana.</t>
  </si>
  <si>
    <t>Indikator 22.  Sosialisasi Pengetahuan Kebencanaan</t>
  </si>
  <si>
    <t>85. Apakah ada sosialisasi pengetahuan kebencanaan yang sesuai dengan bahaya yang ada di desa?</t>
  </si>
  <si>
    <t>Mengusulkan kegiatan sosialisasi pengetahuan kebencanaan menggunakan anggaran desa.</t>
  </si>
  <si>
    <t>86. Apakah sosialisasi pengetahuan kebencanaan tersebut bermanfaat?</t>
  </si>
  <si>
    <t>Melakukan evaluasi terhadap kegiatan sosialisasi bencana yang telah dilakukan</t>
  </si>
  <si>
    <t>87. Apakah pemerintah Desa/Kelurahan mengalokasikan anggaran untuk keberlanjutan penyelenggaraan sosialisasi pengetahuan kebencanaan?</t>
  </si>
  <si>
    <t>Mengusulkan alokasi anggaran untuk kegiatan sosialisasi pengetahuan kebencanaan melalui mekanisme musrenbang.</t>
  </si>
  <si>
    <t>88. Apakah pemerintah Desa/Kelurahan bekerjasama dengan pihak lain dalam melaksanakan sosialisasi pengetahuan kebencanaan?</t>
  </si>
  <si>
    <t>Melakukan kerjasama dengan pihak lain dalam melakukan kegiatan sosialisasi pengetahuan kebencanaan.</t>
  </si>
  <si>
    <t>Indikator 23. Peringatan Bahaya</t>
  </si>
  <si>
    <t>89. Apakah pemerintah Desa/Kelurahan memperoleh/mendapatkan/menerima peringatan bahaya sebelum terjadi bencana?</t>
  </si>
  <si>
    <t xml:space="preserve">Desa/Kelurahan segera mengembangkan penyediaan peringatan bahaya efektif </t>
  </si>
  <si>
    <t>90. Apakah peringatan bahaya tersebut bermanfaat?</t>
  </si>
  <si>
    <t xml:space="preserve">Desa/Kelurahan perlu melakukan evaluasi dan perbaikan penyediaan peringatan bahaya agar lebih efektif </t>
  </si>
  <si>
    <t>91. Apakah pemerintah Desa/Kelurahan mengalokasikan anggaran untuk keberlanjutan penerimaan peringatan bahaya tersebut?</t>
  </si>
  <si>
    <t>Desa/Kelurahan mengalokasikan anggaran untuk efektfitas dan keberlanjutan penyediaan peringatan bahaya</t>
  </si>
  <si>
    <t>92. Apakah pemerintah Desa/Kelurahan bekerjasama dengan pihak lain untuk pengembangan/peningkatan  peringatan bahaya tersebut?</t>
  </si>
  <si>
    <t xml:space="preserve">Desa/Kelurahan bekerjasama dengan BPBD dan penyedia peringatan bahaya lainnya untuk mengembangkan peringatan bahaya efektif  </t>
  </si>
  <si>
    <t xml:space="preserve">Indikator 24. Penyebarluasan Peringatan Bahaya </t>
  </si>
  <si>
    <t>93. Apakah pemerintah Desa/Kelurahan memiliki cara menyebarluaskan peringatan bahaya kepada seluruh masyarakat?</t>
  </si>
  <si>
    <t xml:space="preserve">Desa/Kelurahan melakukan penyusunan standar prosedur penyebarluasan peringatan bahaya kepada seluruh masyarakat termasuk penyandang difabel </t>
  </si>
  <si>
    <t>94. Apakah penyebarluasan peringatan bahaya tersebut dapat menjangkau semua masyarakat tanpa kecuali? Termasuk difable dan kelompok rentan lainnya?</t>
  </si>
  <si>
    <t>Melakukan evaluasi dan perbaikan prosedur penyebarluasan peringatan bahaya agar dapat diterima oleh seluruh masyarakat termasuk difabel</t>
  </si>
  <si>
    <t>95. Apakah pemerintah Desa/Kelurahan mengalokasikan anggaran untuk keberlanjutan penyebarluasan peringatan bahaya tersebut?</t>
  </si>
  <si>
    <t>Mengalokasikan anggaran untuk keberlanjutan prosedur penyebarluasan peringatan bahaya</t>
  </si>
  <si>
    <t xml:space="preserve">96. Apakah pemerintah Desa/Kelurahan bekerjasama dengan pihak lain untuk pengembangan/peningkatan penyebarluasan peringatan bahaya tersebut? </t>
  </si>
  <si>
    <t>Bekerjasama dengan desa/kelurahan lain atau pihak lain dalam meningkatkan efektifitas penyebarluasan peringatah bahaya</t>
  </si>
  <si>
    <t xml:space="preserve">Indikator 25. Rencana Evakuasi </t>
  </si>
  <si>
    <t>97. Apakah pemerintah Desa/Kelurahan memiliki rencana evakuasi jika terjadi bencana?</t>
  </si>
  <si>
    <t>Menyusun rencana evakuasi bencana dengan melibatkan masyarakat berpotensi terdampak bencana.</t>
  </si>
  <si>
    <t>98. Apakah rencana evakuasi tersebut bermanfaat/berfungsi untuk penyelamatan diri saat bencana?</t>
  </si>
  <si>
    <t>Mengevaluasi dan melakukan perbaikan rencana evakuasi dengan melibatkan masyarakat berpotensi terdampak bencana.</t>
  </si>
  <si>
    <t>99. Apakah pemerintah Desa/Kelurahan mengalokasikan anggaran untuk keberfungsian rencana evakuasi tersebut?</t>
  </si>
  <si>
    <t>Mengalokasikan anggaran untuk ujicoba atau simulasi rencana evakuasi bencana</t>
  </si>
  <si>
    <t>100. Apakah pemerintah Desa/Kelurahan bekerjasama dengan pihak lain dalam pengembangan/peningkatan rencana evakuasi tersebut?</t>
  </si>
  <si>
    <t>Membangun kerjasama dengan desa/kelurahan atau pihak lain tentang penyusunan atau pengembangan rencana evakuasi bencana</t>
  </si>
  <si>
    <t xml:space="preserve">Indikator 26. Jalur Evakuasi </t>
  </si>
  <si>
    <t xml:space="preserve">101. Apakah di Desa/Kelurahan tersedia jalur evakuasi? </t>
  </si>
  <si>
    <t xml:space="preserve">Menetapkan jalur evakuasi menuju tempat aman sesuai jenis ancaman </t>
  </si>
  <si>
    <t>102. Apakah jalur evakuasi tersebut bermanfaat ?</t>
  </si>
  <si>
    <t>Mengevaluasi jalur evakuasi dengan ujicoba atau menguji jalur evakuasi melalui simulasi</t>
  </si>
  <si>
    <t>103. Apakah pemerintah Desa/Kelurahan mengalokasikan anggaran untuk pemeliharaan jalur evakuasi tersebut?</t>
  </si>
  <si>
    <t>Mengusulkan alokasi penganggaran Desa/Kelurahan untuk pemeliharaan dan peningkatan jalur evakuasi</t>
  </si>
  <si>
    <t>104. Apakah pemerintah Desa/Kelurahan bekerjasama pihak lain untuk pengembangan/peningkatan jalur evakuasi tersebut?</t>
  </si>
  <si>
    <t>Melakukan kerjasama dengan Dinas/lembaga/organisasi untuk mengembangkan dan meningkatkan jalur evakuasi</t>
  </si>
  <si>
    <t xml:space="preserve">Indikator 27. Tempat Pengungsian </t>
  </si>
  <si>
    <t>105. Apakah di Desa/Kelurahan tersedia tempat pengungsian bencana?</t>
  </si>
  <si>
    <t>Desa/Kelurahan perlu merencanakan dan menetapkan tempat pengungsian bencana dengan melibatkan masyarakat berpotensi terdampak bencana serta berkoordinasi dengan BPBD/dinas/lembaga/organisasi dalam sistem kesiapsiagaan setempat</t>
  </si>
  <si>
    <t>106. Apakah tempat pengungsian tersebut bermanfaat untuk menyelamatkan diri dari bencana?</t>
  </si>
  <si>
    <t>Desa/Kelurahan perlu melakukan evaluasi untuk meningkatkan keberfungsian tempat pengungsian</t>
  </si>
  <si>
    <t>107. Apakah pemerintah Desa/Kelurahan mengalokasikan anggaran untuk keberlanjutan fungsi tempat pengungsian tersebut?</t>
  </si>
  <si>
    <t>Desa/Kelurahan perlu mengalokasikan anggaran untuk menjamin keberlanjutan fungsi tempat pengungsian</t>
  </si>
  <si>
    <t>108. Apakah pemerintah Desa/Kelurahan bekerjasama dengan pihak lain dalam pengembangan/peningkatan tempat pengungsian tersebut?</t>
  </si>
  <si>
    <t>Desa/Kelurahan perlu melakukan kerjasama dengan BPBD/Dinas/lembaga/organisasi untuk meningkatkan fungsi tempat pengungsian saat bencana</t>
  </si>
  <si>
    <t xml:space="preserve">Indikator 28. Uji Kesiapsiagaan/Simulasi </t>
  </si>
  <si>
    <t>109. Apakah pemerintah Desa/Kelurahan menyelenggarakan uji kesiapsiagaan/simulasi menghadapi bencana?</t>
  </si>
  <si>
    <t xml:space="preserve">Desa/Kelurahan perlu melakukan uji kesiapsiagaan/simulasi menghadapi bencana secara rutin untuk meningkatkan kesiapan masyarakat dan seluruh sistem kesiapsiagaan </t>
  </si>
  <si>
    <t>110. Apakah uji kesiapsiagaan/simulasi tersebut bermanfaat?</t>
  </si>
  <si>
    <t xml:space="preserve">Uji kesiapsiagaan/simulasi yang telah dilakukan oleh Desa/Kelurahan perlu dievaluasi dan diperbaiki untuk mengoptimalkan efektifitas serta hasilnya </t>
  </si>
  <si>
    <t>111. Apakah pemerintah Desa/Kelurahan mengalokasikan anggaran untuk keberlanjutan uji kesiapsiagaan/simulasi tersebut?</t>
  </si>
  <si>
    <t>Desa/Kelurahan perlu mengalokasikan anggaran runtin untuk memastikan keberlanjutan uji kesiapsiagaan/simulasi menghadapi bencana</t>
  </si>
  <si>
    <t>112. Apakah pemerintah Desa/Kelurahan bekerjasama dengan pihak lain dalam pengembangan/peningkatan uji kesiapsiagaan/simulasi terebut?</t>
  </si>
  <si>
    <t xml:space="preserve">Desa/Kelurahan perlu menjalin kerjasama dengan BPBD/dinas/lembaga/organisasi untuk meningkatkan efektivitas uji kesiapsiagaan/simulasi </t>
  </si>
  <si>
    <t>Indikator 29. Mekanisme Penilaian Pasca Bencana Secara Mandiri</t>
  </si>
  <si>
    <t>113. Apakah sudah ada mekanisme untuk menilai kerusakan dan kerugian pasca bencana secara mandiri untuk rumah, perekonomian, atau fasilitas layanan dasar yang rusak?</t>
  </si>
  <si>
    <t>Mengusulkan kegiatan penyusunan mekanisme penilaian pasca bencana secara mandiri menggunakan anggaran desa.</t>
  </si>
  <si>
    <t>114. Apakah mekanisme untuk menilai kerusakan dan kerugian pasca bencana secara mandiri dapat bermanfaat/bisa diandalkan?</t>
  </si>
  <si>
    <t>Melakukan evaluasi terhadap mekanisme penilaian pasca bencana secara mandiri.</t>
  </si>
  <si>
    <t>115. Apakah pemerintah Desa/Kelurahan mengalokasikan anggaran untuk keberlanjutan penyelenggaraan mekanisme penilaian kerusakan dan kerugian pasca bencana secara mandiri?</t>
  </si>
  <si>
    <t>Mengusulkan alokasi anggaran untuk penyusunan mekanisme penilaian pasca bencana secara mandiri melalui mekanisme musrenbang.</t>
  </si>
  <si>
    <t>116. Apakah pemerintah Desa/Kelurahan bekerjasama dengan pihak lain untuk pengembangan/peningkatan mekanisme penilaian kerusakan dan kerugian pasca bencana secara mandiri?</t>
  </si>
  <si>
    <t>Melakukan kerjasama dengan pihak lain dalam melakukan pengembangan/peningkatan mekanisme penilaian kerusakan dan kerugian pasca bencana secara mandiri.</t>
  </si>
  <si>
    <t>Indikator 30. Mekanisme Pemulihan Dini Mandiri</t>
  </si>
  <si>
    <t>117. Apakah sudah ada mekanisme untuk pemulihan dini secara mandiri untuk fungsi-fungsi layanan dasar yang rusak?</t>
  </si>
  <si>
    <t>Mengusulkan kegiatan penyusunan mekanisme pemulihan dini mandiri menggunakan anggaran desa.</t>
  </si>
  <si>
    <t xml:space="preserve">118. Apakah mekanisme untuk pemulihan dini secara mandiri bermanfaat/bisa diandalkan? </t>
  </si>
  <si>
    <t>Melakukan evaluasi terhadap mekanisme pemulihan dini mandiri.</t>
  </si>
  <si>
    <t>119. Apakah pemerintah Desa/Kelurahan mengalokasikan anggaran untuk keberlanjutan penyelenggaraan mekanisme pemulihan dini secara mandiri?</t>
  </si>
  <si>
    <t>Mengusulkan alokasi anggaran untuk penyusunan mekanisme pemulihan dini mandiri melalui mekanisme musrenbang.</t>
  </si>
  <si>
    <t xml:space="preserve">120. Apakah pemerintah Desa/Kelurahan bekerjasama dengan pihak lain untuk pengembangan/peningkatan mekanisme pemulihan dini secara mandiri? </t>
  </si>
  <si>
    <t>Melakukan kerjasama dengan pihak lain dalam melakukan pengembangan/peningkatan mekanisme pemulihan dini secara mandiri.</t>
  </si>
  <si>
    <t>Indikator 31.  Mekanisme Pengelolaan Bantuan Secara Mandiri yang Transparan dan Akuntabel</t>
  </si>
  <si>
    <t>121. Apakah sudah ada mekanisme untuk pengelolaan bantuan secara mandiri yang transparan dan akuntabel?</t>
  </si>
  <si>
    <t>Mengusulkan kegiatan penyusunan mekanisme pengelolaan bantuan secara mandiri yang transparan dan akuntabel menggunakan anggaran desa.</t>
  </si>
  <si>
    <t>122. Apakah mekanisme untuk pengelolaan bantuan secara mandiri yang transparan dan akuntabel tersebut bermanfaat/bisa diandalkan?</t>
  </si>
  <si>
    <t>Melakukan evaluasi terhadap mekanisme pengelolaan bantuan secara mandiri yang transparan dan akuntabel.</t>
  </si>
  <si>
    <t xml:space="preserve">123. Apakah pemerintah Desa/Kelurahan mengalokasikan anggaran untuk keberlanjutan penyelenggaraan mekanisme pengelolaan bantuan secara mandiri yang transparan dan akuntabel? </t>
  </si>
  <si>
    <t>Mengusulkan alokasi anggaran untuk penyusunan mekanisme pengelolaan bantuan secara mandiri yang transparan dan akuntabel melalui mekanisme musrenbang.</t>
  </si>
  <si>
    <t xml:space="preserve">124. Apakah pemerintah Desa/Kelurahan bekerjasama dengan pihak lain untuk pengembangan/peningkatan mekanisme pengelolaan bantuan secara mandiri yang transparan dan akuntabel? </t>
  </si>
  <si>
    <t>Melakukan kerjasama dengan pihak lain dalam melakukan pengembangan/peningkatan mekanisme pengelolaan bantuan secara mandiri yang transparan dan akuntabel.</t>
  </si>
  <si>
    <t>Indikator 32.  Membangun Kembali dengan Lebih Baik</t>
  </si>
  <si>
    <t>125. Apakah ada rencana untuk membangun fasilitas layanan dasar yang berada di daerah rawan secara lebih baik pasca bencana?</t>
  </si>
  <si>
    <t>Mengusulkan kegiatan perencanaan untuk membangun fasilitas layanan dasar secara lebih baik menggunakan anggaran desa.</t>
  </si>
  <si>
    <t>126. Apakah rencana untuk membangun fasilitas tersebut secara lebih kuat dan aman pasca bencana dapat bermanfaat/bisa diandalkan?</t>
  </si>
  <si>
    <t>Melakukan evaluasi terhadap perencanaan untuk membangun fasilitas layanan dasar secara lebih baik.</t>
  </si>
  <si>
    <t xml:space="preserve">127. Apakah pemerintah Desa/Kelurahan mengalokasikan anggaran untuk keberlanjutan rencana untuk membangun fasilitas tersebut secara lebih kuat dan aman pasca bencana? </t>
  </si>
  <si>
    <t>Mengusulkan alokasi anggaran untuk perencanaan untuk membangun fasilitas layanan dasar secara lebih baik melalui mekanisme musrenbang.</t>
  </si>
  <si>
    <t xml:space="preserve">128. Apakah pemerintah Desa/Kelurahan bekerjasama dengan pihak lain untuk pengembangan/peningkatan rencana untuk membangun fasilitas tersebut secara lebih kuat dan aman pasca bencana? </t>
  </si>
  <si>
    <t>Melakukan kerjasama dengan pihak lain dalam melakukan pengembangan/peningkatan rencana untuk membangun fasilitas tersebut secara lebih kuat dan aman pasca bencana.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</si>
</sst>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21]dd\ mmmm\ yyyy"/>
    <numFmt numFmtId="165" formatCode="_-* #,##0.0_-;\-* #,##0.0_-;_-* &quot;-&quot;_-;_-@"/>
    <numFmt numFmtId="166" formatCode="_-* #,##0.00_-;\-* #,##0.00_-;_-* &quot;-&quot;_-;_-@"/>
    <numFmt numFmtId="167" formatCode="#,##0.00_ ;\-#,##0.00\ "/>
    <numFmt numFmtId="168" formatCode="0.000000"/>
  </numFmts>
  <fonts count="25">
    <font>
      <sz val="11.0"/>
      <color rgb="FF000000"/>
      <name val="Arial"/>
      <scheme val="minor"/>
    </font>
    <font>
      <sz val="11.0"/>
      <color theme="1"/>
      <name val="Calibri"/>
    </font>
    <font>
      <b/>
      <sz val="16.0"/>
      <color theme="1"/>
      <name val="Arial"/>
    </font>
    <font>
      <b/>
      <sz val="20.0"/>
      <color theme="1"/>
      <name val="Calibri"/>
    </font>
    <font/>
    <font>
      <b/>
      <sz val="24.0"/>
      <color theme="1"/>
      <name val="Calibri"/>
    </font>
    <font>
      <sz val="12.0"/>
      <color theme="1"/>
      <name val="Arial"/>
    </font>
    <font>
      <b/>
      <sz val="11.0"/>
      <color theme="1"/>
      <name val="Calibri"/>
    </font>
    <font>
      <b/>
      <sz val="14.0"/>
      <color theme="1"/>
      <name val="Calibri"/>
    </font>
    <font>
      <b/>
      <sz val="14.0"/>
      <color theme="1"/>
      <name val="Arial"/>
    </font>
    <font>
      <b/>
      <sz val="9.0"/>
      <color theme="1"/>
      <name val="Calibri"/>
    </font>
    <font>
      <b/>
      <sz val="10.0"/>
      <color theme="1"/>
      <name val="Calibri"/>
    </font>
    <font>
      <b/>
      <sz val="9.0"/>
      <color rgb="FFFF0000"/>
      <name val="Arial"/>
    </font>
    <font>
      <sz val="9.0"/>
      <color rgb="FFFF0000"/>
      <name val="Arial"/>
    </font>
    <font>
      <sz val="9.0"/>
      <color rgb="FF4A86E8"/>
      <name val="Arial"/>
    </font>
    <font>
      <b/>
      <sz val="26.0"/>
      <color theme="1"/>
      <name val="Calibri"/>
    </font>
    <font>
      <sz val="20.0"/>
      <color theme="1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8.0"/>
      <color theme="1"/>
      <name val="Calibri"/>
    </font>
    <font>
      <b/>
      <sz val="11.0"/>
      <color rgb="FFFF0000"/>
      <name val="Calibri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2F2F2"/>
        <bgColor rgb="FFF2F2F2"/>
      </patternFill>
    </fill>
    <fill>
      <patternFill patternType="solid">
        <fgColor rgb="FF2E75B5"/>
        <bgColor rgb="FF2E75B5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top style="thin">
        <color rgb="FFFF0000"/>
      </top>
      <bottom style="thin">
        <color rgb="FF000000"/>
      </bottom>
    </border>
    <border>
      <top style="thin">
        <color rgb="FFFF0000"/>
      </top>
      <bottom style="thin">
        <color rgb="FF000000"/>
      </bottom>
    </border>
    <border>
      <right style="thin">
        <color rgb="FFFF0000"/>
      </right>
      <top style="thin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7F7F7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7F7F7F"/>
      </bottom>
    </border>
    <border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7F7F7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dotted">
        <color rgb="FF7F7F7F"/>
      </top>
      <bottom style="dotted">
        <color rgb="FF7F7F7F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000000"/>
      </left>
      <top style="thin">
        <color rgb="FF000000"/>
      </top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dotted">
        <color rgb="FF000000"/>
      </left>
      <right style="dotted">
        <color rgb="FF000000"/>
      </righ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7F7F7F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bottom style="thin">
        <color rgb="FF7F7F7F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wrapText="1"/>
    </xf>
    <xf borderId="1" fillId="0" fontId="3" numFmtId="0" xfId="0" applyBorder="1" applyFont="1"/>
    <xf borderId="3" fillId="0" fontId="4" numFmtId="0" xfId="0" applyBorder="1" applyFont="1"/>
    <xf borderId="4" fillId="0" fontId="4" numFmtId="0" xfId="0" applyBorder="1" applyFont="1"/>
    <xf borderId="1" fillId="0" fontId="5" numFmtId="0" xfId="0" applyBorder="1" applyFont="1"/>
    <xf borderId="0" fillId="0" fontId="6" numFmtId="0" xfId="0" applyFont="1"/>
    <xf borderId="1" fillId="0" fontId="7" numFmtId="0" xfId="0" applyBorder="1" applyFont="1"/>
    <xf borderId="0" fillId="0" fontId="1" numFmtId="0" xfId="0" applyFont="1"/>
    <xf borderId="5" fillId="0" fontId="8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7" fillId="0" fontId="1" numFmtId="0" xfId="0" applyBorder="1" applyFont="1"/>
    <xf borderId="8" fillId="0" fontId="4" numFmtId="0" xfId="0" applyBorder="1" applyFont="1"/>
    <xf borderId="9" fillId="0" fontId="1" numFmtId="0" xfId="0" applyBorder="1" applyFont="1"/>
    <xf borderId="10" fillId="0" fontId="4" numFmtId="0" xfId="0" applyBorder="1" applyFont="1"/>
    <xf borderId="11" fillId="0" fontId="7" numFmtId="0" xfId="0" applyBorder="1" applyFont="1"/>
    <xf borderId="12" fillId="0" fontId="7" numFmtId="0" xfId="0" applyBorder="1" applyFont="1"/>
    <xf borderId="12" fillId="0" fontId="1" numFmtId="0" xfId="0" applyBorder="1" applyFont="1"/>
    <xf borderId="13" fillId="0" fontId="7" numFmtId="164" xfId="0" applyAlignment="1" applyBorder="1" applyFont="1" applyNumberFormat="1">
      <alignment horizontal="left"/>
    </xf>
    <xf borderId="12" fillId="0" fontId="1" numFmtId="0" xfId="0" applyAlignment="1" applyBorder="1" applyFont="1">
      <alignment horizontal="center"/>
    </xf>
    <xf borderId="14" fillId="0" fontId="6" numFmtId="0" xfId="0" applyAlignment="1" applyBorder="1" applyFont="1">
      <alignment horizontal="right" vertical="top"/>
    </xf>
    <xf borderId="1" fillId="0" fontId="7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shrinkToFit="0" vertical="top" wrapText="1"/>
    </xf>
    <xf borderId="15" fillId="0" fontId="1" numFmtId="0" xfId="0" applyBorder="1" applyFont="1"/>
    <xf borderId="16" fillId="2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right" vertical="top"/>
    </xf>
    <xf borderId="17" fillId="0" fontId="1" numFmtId="0" xfId="0" applyBorder="1" applyFont="1"/>
    <xf borderId="17" fillId="0" fontId="7" numFmtId="0" xfId="0" applyBorder="1" applyFont="1"/>
    <xf borderId="18" fillId="3" fontId="7" numFmtId="0" xfId="0" applyAlignment="1" applyBorder="1" applyFont="1">
      <alignment horizontal="center" vertical="center"/>
    </xf>
    <xf borderId="19" fillId="0" fontId="1" numFmtId="0" xfId="0" applyBorder="1" applyFont="1"/>
    <xf borderId="20" fillId="0" fontId="4" numFmtId="0" xfId="0" applyBorder="1" applyFont="1"/>
    <xf borderId="21" fillId="0" fontId="1" numFmtId="0" xfId="0" applyAlignment="1" applyBorder="1" applyFont="1">
      <alignment readingOrder="0"/>
    </xf>
    <xf borderId="22" fillId="3" fontId="7" numFmtId="0" xfId="0" applyAlignment="1" applyBorder="1" applyFont="1">
      <alignment vertical="center"/>
    </xf>
    <xf borderId="6" fillId="3" fontId="9" numFmtId="0" xfId="0" applyAlignment="1" applyBorder="1" applyFont="1">
      <alignment horizontal="left"/>
    </xf>
    <xf borderId="22" fillId="3" fontId="7" numFmtId="0" xfId="0" applyAlignment="1" applyBorder="1" applyFont="1">
      <alignment horizontal="left" shrinkToFit="0" vertical="center" wrapText="1"/>
    </xf>
    <xf borderId="23" fillId="3" fontId="9" numFmtId="0" xfId="0" applyBorder="1" applyFont="1"/>
    <xf borderId="22" fillId="3" fontId="10" numFmtId="0" xfId="0" applyAlignment="1" applyBorder="1" applyFont="1">
      <alignment horizontal="center" shrinkToFit="0" vertical="center" wrapText="1"/>
    </xf>
    <xf borderId="22" fillId="3" fontId="11" numFmtId="0" xfId="0" applyAlignment="1" applyBorder="1" applyFont="1">
      <alignment horizontal="center" shrinkToFit="0" vertical="center" wrapText="1"/>
    </xf>
    <xf borderId="22" fillId="3" fontId="7" numFmtId="0" xfId="0" applyAlignment="1" applyBorder="1" applyFont="1">
      <alignment horizontal="center" shrinkToFit="0" vertical="center" wrapText="1"/>
    </xf>
    <xf borderId="22" fillId="3" fontId="7" numFmtId="0" xfId="0" applyAlignment="1" applyBorder="1" applyFont="1">
      <alignment horizontal="center" vertical="center"/>
    </xf>
    <xf borderId="22" fillId="3" fontId="12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/>
    </xf>
    <xf borderId="1" fillId="4" fontId="6" numFmtId="0" xfId="0" applyAlignment="1" applyBorder="1" applyFill="1" applyFont="1">
      <alignment horizontal="right" vertical="top"/>
    </xf>
    <xf borderId="17" fillId="0" fontId="1" numFmtId="0" xfId="0" applyAlignment="1" applyBorder="1" applyFont="1">
      <alignment horizontal="center"/>
    </xf>
    <xf borderId="1" fillId="4" fontId="6" numFmtId="0" xfId="0" applyAlignment="1" applyBorder="1" applyFont="1">
      <alignment horizontal="center" vertical="top"/>
    </xf>
    <xf borderId="25" fillId="0" fontId="1" numFmtId="0" xfId="0" applyBorder="1" applyFont="1"/>
    <xf borderId="1" fillId="4" fontId="6" numFmtId="0" xfId="0" applyAlignment="1" applyBorder="1" applyFont="1">
      <alignment shrinkToFit="0" vertical="top" wrapText="1"/>
    </xf>
    <xf borderId="23" fillId="4" fontId="6" numFmtId="0" xfId="0" applyBorder="1" applyFont="1"/>
    <xf borderId="22" fillId="3" fontId="7" numFmtId="165" xfId="0" applyAlignment="1" applyBorder="1" applyFont="1" applyNumberFormat="1">
      <alignment horizontal="center" shrinkToFit="0" vertical="center" wrapText="1"/>
    </xf>
    <xf borderId="6" fillId="3" fontId="7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right" vertical="top"/>
    </xf>
    <xf borderId="1" fillId="3" fontId="1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vertical="top"/>
    </xf>
    <xf borderId="1" fillId="3" fontId="7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6" fillId="0" fontId="1" numFmtId="0" xfId="0" applyAlignment="1" applyBorder="1" applyFont="1">
      <alignment horizontal="left" shrinkToFit="0" vertical="top" wrapText="1"/>
    </xf>
    <xf borderId="17" fillId="0" fontId="1" numFmtId="0" xfId="0" applyAlignment="1" applyBorder="1" applyFont="1">
      <alignment horizontal="center" vertical="top"/>
    </xf>
    <xf borderId="17" fillId="0" fontId="1" numFmtId="0" xfId="0" applyAlignment="1" applyBorder="1" applyFont="1">
      <alignment horizontal="left" vertical="top"/>
    </xf>
    <xf borderId="22" fillId="0" fontId="1" numFmtId="0" xfId="0" applyAlignment="1" applyBorder="1" applyFont="1">
      <alignment horizontal="center" vertical="top"/>
    </xf>
    <xf borderId="17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13" fillId="0" fontId="4" numFmtId="0" xfId="0" applyBorder="1" applyFont="1"/>
    <xf borderId="26" fillId="0" fontId="1" numFmtId="0" xfId="0" applyAlignment="1" applyBorder="1" applyFont="1">
      <alignment horizontal="center" vertical="center"/>
    </xf>
    <xf borderId="26" fillId="0" fontId="13" numFmtId="0" xfId="0" applyAlignment="1" applyBorder="1" applyFont="1">
      <alignment horizontal="center" vertical="center"/>
    </xf>
    <xf borderId="12" fillId="0" fontId="4" numFmtId="0" xfId="0" applyBorder="1" applyFont="1"/>
    <xf borderId="26" fillId="0" fontId="14" numFmtId="0" xfId="0" applyAlignment="1" applyBorder="1" applyFont="1">
      <alignment horizontal="center" vertical="center"/>
    </xf>
    <xf borderId="22" fillId="0" fontId="13" numFmtId="0" xfId="0" applyAlignment="1" applyBorder="1" applyFont="1">
      <alignment horizontal="center" vertical="center"/>
    </xf>
    <xf borderId="26" fillId="0" fontId="1" numFmtId="166" xfId="0" applyAlignment="1" applyBorder="1" applyFont="1" applyNumberFormat="1">
      <alignment horizontal="center" vertical="center"/>
    </xf>
    <xf borderId="26" fillId="0" fontId="1" numFmtId="167" xfId="0" applyAlignment="1" applyBorder="1" applyFont="1" applyNumberFormat="1">
      <alignment horizontal="center" vertical="center"/>
    </xf>
    <xf borderId="26" fillId="0" fontId="1" numFmtId="167" xfId="0" applyAlignment="1" applyBorder="1" applyFont="1" applyNumberFormat="1">
      <alignment horizontal="center" shrinkToFit="0" vertical="center" wrapText="1"/>
    </xf>
    <xf borderId="26" fillId="0" fontId="8" numFmtId="2" xfId="0" applyAlignment="1" applyBorder="1" applyFont="1" applyNumberFormat="1">
      <alignment horizontal="center" vertical="top"/>
    </xf>
    <xf borderId="26" fillId="0" fontId="1" numFmtId="2" xfId="0" applyAlignment="1" applyBorder="1" applyFont="1" applyNumberFormat="1">
      <alignment horizontal="center" vertical="center"/>
    </xf>
    <xf borderId="26" fillId="0" fontId="15" numFmtId="2" xfId="0" applyAlignment="1" applyBorder="1" applyFont="1" applyNumberFormat="1">
      <alignment horizontal="center" vertical="top"/>
    </xf>
    <xf borderId="27" fillId="0" fontId="4" numFmtId="0" xfId="0" applyBorder="1" applyFont="1"/>
    <xf borderId="28" fillId="0" fontId="4" numFmtId="0" xfId="0" applyBorder="1" applyFont="1"/>
    <xf borderId="1" fillId="0" fontId="16" numFmtId="0" xfId="0" applyBorder="1" applyFont="1"/>
    <xf borderId="6" fillId="3" fontId="9" numFmtId="0" xfId="0" applyAlignment="1" applyBorder="1" applyFont="1">
      <alignment horizontal="left" vertical="top"/>
    </xf>
    <xf borderId="1" fillId="0" fontId="17" numFmtId="0" xfId="0" applyBorder="1" applyFont="1"/>
    <xf borderId="23" fillId="3" fontId="6" numFmtId="0" xfId="0" applyBorder="1" applyFont="1"/>
    <xf borderId="6" fillId="0" fontId="8" numFmtId="0" xfId="0" applyAlignment="1" applyBorder="1" applyFont="1">
      <alignment horizontal="left"/>
    </xf>
    <xf borderId="6" fillId="0" fontId="1" numFmtId="0" xfId="0" applyBorder="1" applyFont="1"/>
    <xf borderId="1" fillId="3" fontId="18" numFmtId="0" xfId="0" applyAlignment="1" applyBorder="1" applyFont="1">
      <alignment horizontal="center" vertical="center"/>
    </xf>
    <xf borderId="1" fillId="3" fontId="18" numFmtId="0" xfId="0" applyAlignment="1" applyBorder="1" applyFont="1">
      <alignment horizontal="center" shrinkToFit="0" vertical="center" wrapText="1"/>
    </xf>
    <xf borderId="10" fillId="0" fontId="1" numFmtId="0" xfId="0" applyBorder="1" applyFont="1"/>
    <xf borderId="6" fillId="0" fontId="1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vertical="center"/>
    </xf>
    <xf borderId="1" fillId="0" fontId="1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right" vertical="top"/>
    </xf>
    <xf borderId="1" fillId="0" fontId="19" numFmtId="0" xfId="0" applyAlignment="1" applyBorder="1" applyFont="1">
      <alignment vertical="center"/>
    </xf>
    <xf borderId="6" fillId="2" fontId="9" numFmtId="0" xfId="0" applyAlignment="1" applyBorder="1" applyFont="1">
      <alignment horizontal="left"/>
    </xf>
    <xf borderId="1" fillId="0" fontId="19" numFmtId="2" xfId="0" applyAlignment="1" applyBorder="1" applyFont="1" applyNumberFormat="1">
      <alignment horizontal="center" vertical="center"/>
    </xf>
    <xf borderId="23" fillId="2" fontId="6" numFmtId="0" xfId="0" applyBorder="1" applyFont="1"/>
    <xf borderId="17" fillId="0" fontId="18" numFmtId="2" xfId="0" applyAlignment="1" applyBorder="1" applyFont="1" applyNumberFormat="1">
      <alignment horizontal="center" vertical="center"/>
    </xf>
    <xf borderId="17" fillId="0" fontId="20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quotePrefix="1" borderId="1" fillId="0" fontId="1" numFmtId="0" xfId="0" applyAlignment="1" applyBorder="1" applyFont="1">
      <alignment horizontal="center" vertical="center"/>
    </xf>
    <xf borderId="1" fillId="0" fontId="19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21" numFmtId="0" xfId="0" applyBorder="1" applyFont="1"/>
    <xf borderId="1" fillId="5" fontId="6" numFmtId="0" xfId="0" applyAlignment="1" applyBorder="1" applyFill="1" applyFont="1">
      <alignment horizontal="right" vertical="top"/>
    </xf>
    <xf borderId="1" fillId="5" fontId="6" numFmtId="0" xfId="0" applyAlignment="1" applyBorder="1" applyFont="1">
      <alignment horizontal="center" vertical="top"/>
    </xf>
    <xf borderId="1" fillId="5" fontId="6" numFmtId="0" xfId="0" applyAlignment="1" applyBorder="1" applyFont="1">
      <alignment shrinkToFit="0" vertical="top" wrapText="1"/>
    </xf>
    <xf borderId="17" fillId="0" fontId="6" numFmtId="0" xfId="0" applyAlignment="1" applyBorder="1" applyFont="1">
      <alignment horizontal="right" vertical="top"/>
    </xf>
    <xf borderId="17" fillId="0" fontId="6" numFmtId="0" xfId="0" applyAlignment="1" applyBorder="1" applyFont="1">
      <alignment horizontal="center" vertical="top"/>
    </xf>
    <xf borderId="17" fillId="0" fontId="6" numFmtId="0" xfId="0" applyAlignment="1" applyBorder="1" applyFont="1">
      <alignment shrinkToFit="0" vertical="top" wrapText="1"/>
    </xf>
    <xf borderId="0" fillId="0" fontId="6" numFmtId="0" xfId="0" applyAlignment="1" applyFont="1">
      <alignment horizontal="right" vertical="top"/>
    </xf>
    <xf borderId="0" fillId="0" fontId="6" numFmtId="0" xfId="0" applyAlignment="1" applyFont="1">
      <alignment horizontal="center" vertical="top"/>
    </xf>
    <xf borderId="0" fillId="0" fontId="6" numFmtId="0" xfId="0" applyAlignment="1" applyFont="1">
      <alignment shrinkToFit="0" vertical="top" wrapText="1"/>
    </xf>
    <xf borderId="17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vertical="top"/>
    </xf>
    <xf borderId="0" fillId="0" fontId="1" numFmtId="0" xfId="0" applyAlignment="1" applyFont="1">
      <alignment horizontal="center"/>
    </xf>
    <xf borderId="1" fillId="6" fontId="22" numFmtId="0" xfId="0" applyAlignment="1" applyBorder="1" applyFill="1" applyFont="1">
      <alignment horizontal="center" shrinkToFit="0" vertical="top" wrapText="1"/>
    </xf>
    <xf borderId="1" fillId="6" fontId="22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/>
    </xf>
    <xf borderId="17" fillId="0" fontId="23" numFmtId="0" xfId="0" applyAlignment="1" applyBorder="1" applyFont="1">
      <alignment horizontal="left" shrinkToFit="0" vertical="top" wrapText="1"/>
    </xf>
    <xf borderId="17" fillId="7" fontId="23" numFmtId="0" xfId="0" applyAlignment="1" applyBorder="1" applyFill="1" applyFont="1">
      <alignment horizontal="center" vertical="center"/>
    </xf>
    <xf borderId="1" fillId="0" fontId="23" numFmtId="0" xfId="0" applyAlignment="1" applyBorder="1" applyFont="1">
      <alignment shrinkToFit="0" vertical="top" wrapText="1"/>
    </xf>
    <xf borderId="0" fillId="0" fontId="23" numFmtId="0" xfId="0" applyFont="1"/>
    <xf borderId="0" fillId="0" fontId="23" numFmtId="0" xfId="0" applyAlignment="1" applyFont="1">
      <alignment shrinkToFit="0" vertical="top" wrapText="1"/>
    </xf>
    <xf borderId="26" fillId="0" fontId="1" numFmtId="0" xfId="0" applyAlignment="1" applyBorder="1" applyFont="1">
      <alignment horizontal="center" shrinkToFit="0" vertical="top" wrapText="1"/>
    </xf>
    <xf borderId="17" fillId="7" fontId="24" numFmtId="0" xfId="0" applyAlignment="1" applyBorder="1" applyFont="1">
      <alignment horizontal="center" shrinkToFit="0" vertical="center" wrapText="1"/>
    </xf>
    <xf borderId="1" fillId="8" fontId="24" numFmtId="0" xfId="0" applyAlignment="1" applyBorder="1" applyFill="1" applyFont="1">
      <alignment horizontal="left" shrinkToFit="0" vertical="top" wrapText="1"/>
    </xf>
    <xf borderId="26" fillId="0" fontId="8" numFmtId="167" xfId="0" applyAlignment="1" applyBorder="1" applyFont="1" applyNumberFormat="1">
      <alignment horizontal="center" vertical="center"/>
    </xf>
    <xf borderId="17" fillId="0" fontId="23" numFmtId="0" xfId="0" applyAlignment="1" applyBorder="1" applyFont="1">
      <alignment horizontal="center" vertical="center"/>
    </xf>
    <xf borderId="17" fillId="8" fontId="24" numFmtId="0" xfId="0" applyAlignment="1" applyBorder="1" applyFont="1">
      <alignment horizontal="left" shrinkToFit="0" vertical="top" wrapText="1"/>
    </xf>
    <xf borderId="17" fillId="7" fontId="24" numFmtId="0" xfId="0" applyAlignment="1" applyBorder="1" applyFont="1">
      <alignment horizontal="center" vertical="center"/>
    </xf>
    <xf borderId="17" fillId="0" fontId="23" numFmtId="0" xfId="0" applyAlignment="1" applyBorder="1" applyFont="1">
      <alignment horizontal="center"/>
    </xf>
    <xf borderId="26" fillId="0" fontId="1" numFmtId="0" xfId="0" applyAlignment="1" applyBorder="1" applyFont="1">
      <alignment horizontal="left" vertical="top"/>
    </xf>
    <xf borderId="22" fillId="0" fontId="14" numFmtId="0" xfId="0" applyAlignment="1" applyBorder="1" applyFont="1">
      <alignment horizontal="center" vertical="center"/>
    </xf>
    <xf borderId="22" fillId="0" fontId="1" numFmtId="166" xfId="0" applyAlignment="1" applyBorder="1" applyFont="1" applyNumberFormat="1">
      <alignment horizontal="center" vertical="center"/>
    </xf>
    <xf borderId="1" fillId="0" fontId="23" numFmtId="0" xfId="0" applyAlignment="1" applyBorder="1" applyFont="1">
      <alignment horizontal="center" vertical="center"/>
    </xf>
    <xf borderId="0" fillId="0" fontId="23" numFmtId="0" xfId="0" applyAlignment="1" applyFont="1">
      <alignment horizontal="left" shrinkToFit="0" vertical="top" wrapText="1"/>
    </xf>
    <xf borderId="0" fillId="0" fontId="23" numFmtId="0" xfId="0" applyAlignment="1" applyFont="1">
      <alignment horizontal="center" vertical="center"/>
    </xf>
    <xf borderId="26" fillId="0" fontId="8" numFmtId="2" xfId="0" applyAlignment="1" applyBorder="1" applyFont="1" applyNumberFormat="1">
      <alignment horizontal="center" vertical="center"/>
    </xf>
    <xf borderId="22" fillId="0" fontId="1" numFmtId="0" xfId="0" applyBorder="1" applyFont="1"/>
    <xf borderId="22" fillId="0" fontId="1" numFmtId="165" xfId="0" applyAlignment="1" applyBorder="1" applyFont="1" applyNumberFormat="1">
      <alignment horizontal="center" vertical="center"/>
    </xf>
    <xf borderId="26" fillId="0" fontId="8" numFmtId="166" xfId="0" applyAlignment="1" applyBorder="1" applyFont="1" applyNumberFormat="1">
      <alignment horizontal="center" vertical="center"/>
    </xf>
    <xf borderId="26" fillId="0" fontId="1" numFmtId="165" xfId="0" applyAlignment="1" applyBorder="1" applyFont="1" applyNumberFormat="1">
      <alignment horizontal="center" vertical="center"/>
    </xf>
    <xf borderId="22" fillId="0" fontId="1" numFmtId="0" xfId="0" applyAlignment="1" applyBorder="1" applyFont="1">
      <alignment horizontal="left" shrinkToFit="0" vertical="top" wrapText="1"/>
    </xf>
    <xf borderId="22" fillId="9" fontId="1" numFmtId="0" xfId="0" applyBorder="1" applyFill="1" applyFont="1"/>
    <xf borderId="22" fillId="9" fontId="1" numFmtId="0" xfId="0" applyAlignment="1" applyBorder="1" applyFont="1">
      <alignment horizontal="left" shrinkToFit="0" vertical="top" wrapText="1"/>
    </xf>
    <xf borderId="22" fillId="9" fontId="1" numFmtId="0" xfId="0" applyAlignment="1" applyBorder="1" applyFont="1">
      <alignment horizontal="center" vertical="top"/>
    </xf>
    <xf borderId="22" fillId="9" fontId="1" numFmtId="165" xfId="0" applyAlignment="1" applyBorder="1" applyFont="1" applyNumberFormat="1">
      <alignment horizontal="center" vertical="center"/>
    </xf>
    <xf borderId="22" fillId="0" fontId="1" numFmtId="168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Calibri"/>
              </a:defRPr>
            </a:pPr>
            <a:r>
              <a:rPr b="0" i="0">
                <a:solidFill>
                  <a:srgbClr val="757575"/>
                </a:solidFill>
                <a:latin typeface="Calibri"/>
              </a:rPr>
              <a:t>INDEKS PER KOMPONEN DESA SUWATU</a:t>
            </a:r>
          </a:p>
        </c:rich>
      </c:tx>
      <c:layout>
        <c:manualLayout>
          <c:xMode val="edge"/>
          <c:yMode val="edge"/>
          <c:x val="0.26348620217953594"/>
          <c:y val="0.01804239707593832"/>
        </c:manualLayout>
      </c:layout>
      <c:overlay val="0"/>
    </c:title>
    <c:plotArea>
      <c:layout>
        <c:manualLayout>
          <c:xMode val="edge"/>
          <c:yMode val="edge"/>
          <c:x val="0.2807761350975802"/>
          <c:y val="0.16588492417078848"/>
          <c:w val="0.4337077643775541"/>
          <c:h val="0.7418221059426826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Graphic!$C$7:$C$11</c:f>
            </c:strRef>
          </c:cat>
          <c:val>
            <c:numRef>
              <c:f>Graphic!$D$7:$D$11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Graphic!$C$7:$C$11</c:f>
            </c:strRef>
          </c:cat>
          <c:val>
            <c:numRef>
              <c:f>Graphic!$D$7:$D$11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Graphic!$C$7:$C$11</c:f>
            </c:strRef>
          </c:cat>
          <c:val>
            <c:numRef>
              <c:f>Graphic!$D$7:$D$11</c:f>
              <c:numCache/>
            </c:numRef>
          </c:val>
          <c:smooth val="1"/>
        </c:ser>
        <c:axId val="1053576944"/>
        <c:axId val="1964545483"/>
      </c:radarChart>
      <c:catAx>
        <c:axId val="105357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545483"/>
      </c:catAx>
      <c:valAx>
        <c:axId val="1964545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57694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Calibri"/>
              </a:defRPr>
            </a:pPr>
            <a:r>
              <a:rPr b="0" i="0">
                <a:solidFill>
                  <a:srgbClr val="757575"/>
                </a:solidFill>
                <a:latin typeface="Calibri"/>
              </a:rPr>
              <a:t>INDEKS PER KOMPONEN DESA SUWATU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INDEKS KOMPONEN</c:v>
          </c:tx>
          <c:spPr>
            <a:solidFill>
              <a:srgbClr val="5B9BD5"/>
            </a:solidFill>
            <a:ln cmpd="sng">
              <a:noFill/>
            </a:ln>
          </c:spPr>
          <c:cat>
            <c:strRef>
              <c:f>Graphic!$C$7:$C$11</c:f>
            </c:strRef>
          </c:cat>
          <c:val>
            <c:numRef>
              <c:f>Graphic!$D$7:$D$11</c:f>
              <c:numCache/>
            </c:numRef>
          </c:val>
        </c:ser>
        <c:axId val="1664120597"/>
        <c:axId val="171018965"/>
      </c:barChart>
      <c:catAx>
        <c:axId val="1664120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71018965"/>
      </c:catAx>
      <c:valAx>
        <c:axId val="17101896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664120597"/>
        <c:majorUnit val="0.2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390525</xdr:colOff>
      <xdr:row>13</xdr:row>
      <xdr:rowOff>114300</xdr:rowOff>
    </xdr:from>
    <xdr:ext cx="6000750" cy="37052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1038225</xdr:colOff>
      <xdr:row>15</xdr:row>
      <xdr:rowOff>142875</xdr:rowOff>
    </xdr:from>
    <xdr:ext cx="6200775" cy="36004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1.0"/>
    <col customWidth="1" min="3" max="3" width="3.0"/>
    <col customWidth="1" min="4" max="4" width="24.5"/>
    <col customWidth="1" min="5" max="5" width="11.38"/>
    <col customWidth="1" min="6" max="6" width="9.13"/>
    <col customWidth="1" min="7" max="7" width="39.13"/>
    <col customWidth="1" min="8" max="8" width="45.13"/>
    <col customWidth="1" min="9" max="26" width="7.63"/>
  </cols>
  <sheetData>
    <row r="1">
      <c r="A1" s="1"/>
      <c r="B1" s="1"/>
      <c r="C1" s="1"/>
      <c r="D1" s="1"/>
      <c r="E1" s="2"/>
      <c r="F1" s="2"/>
      <c r="G1" s="1"/>
      <c r="H1" s="1"/>
    </row>
    <row r="2" ht="24.75" customHeight="1">
      <c r="A2" s="1"/>
      <c r="B2" s="4" t="s">
        <v>1</v>
      </c>
      <c r="C2" s="1"/>
      <c r="D2" s="1"/>
      <c r="E2" s="7"/>
      <c r="F2" s="2"/>
      <c r="G2" s="1"/>
      <c r="H2" s="1"/>
    </row>
    <row r="3" ht="7.5" customHeight="1">
      <c r="A3" s="1"/>
      <c r="B3" s="9"/>
      <c r="C3" s="1"/>
      <c r="D3" s="1"/>
      <c r="E3" s="9"/>
      <c r="F3" s="2"/>
      <c r="G3" s="1"/>
      <c r="H3" s="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"/>
      <c r="B4" s="11" t="s">
        <v>2</v>
      </c>
      <c r="C4" s="13"/>
      <c r="D4" s="15"/>
      <c r="E4" s="17"/>
      <c r="F4" s="2"/>
      <c r="G4" s="1"/>
      <c r="H4" s="1"/>
    </row>
    <row r="5">
      <c r="A5" s="1"/>
      <c r="B5" s="18" t="s">
        <v>3</v>
      </c>
      <c r="C5" s="19" t="s">
        <v>4</v>
      </c>
      <c r="D5" s="20">
        <v>46217.0</v>
      </c>
      <c r="E5" s="21"/>
      <c r="F5" s="23"/>
      <c r="G5" s="1"/>
      <c r="H5" s="1"/>
    </row>
    <row r="6">
      <c r="A6" s="1"/>
      <c r="B6" s="9" t="s">
        <v>5</v>
      </c>
      <c r="C6" s="1" t="s">
        <v>4</v>
      </c>
      <c r="D6" s="26" t="s">
        <v>6</v>
      </c>
      <c r="E6" s="2"/>
      <c r="F6" s="2"/>
      <c r="G6" s="1"/>
      <c r="H6" s="1"/>
    </row>
    <row r="7">
      <c r="A7" s="1"/>
      <c r="B7" s="9" t="s">
        <v>7</v>
      </c>
      <c r="C7" s="1" t="s">
        <v>4</v>
      </c>
      <c r="D7" s="26" t="s">
        <v>9</v>
      </c>
      <c r="E7" s="2"/>
      <c r="F7" s="2"/>
      <c r="G7" s="1"/>
      <c r="H7" s="1"/>
    </row>
    <row r="8">
      <c r="A8" s="1"/>
      <c r="B8" s="9" t="s">
        <v>10</v>
      </c>
      <c r="C8" s="1" t="s">
        <v>4</v>
      </c>
      <c r="D8" s="26" t="s">
        <v>11</v>
      </c>
      <c r="E8" s="2"/>
      <c r="F8" s="2"/>
      <c r="G8" s="1"/>
      <c r="H8" s="1"/>
    </row>
    <row r="9">
      <c r="A9" s="1"/>
      <c r="B9" s="9" t="s">
        <v>12</v>
      </c>
      <c r="C9" s="1" t="s">
        <v>4</v>
      </c>
      <c r="D9" s="26" t="s">
        <v>13</v>
      </c>
      <c r="E9" s="2"/>
      <c r="F9" s="2"/>
      <c r="G9" s="1"/>
      <c r="H9" s="1"/>
    </row>
    <row r="10" ht="24.0" customHeight="1">
      <c r="A10" s="29"/>
      <c r="B10" s="30" t="s">
        <v>16</v>
      </c>
      <c r="C10" s="32" t="s">
        <v>4</v>
      </c>
      <c r="D10" s="34" t="s">
        <v>17</v>
      </c>
      <c r="E10" s="44"/>
      <c r="F10" s="46"/>
      <c r="G10" s="29"/>
      <c r="H10" s="29"/>
    </row>
    <row r="11" ht="5.25" customHeight="1">
      <c r="A11" s="29"/>
      <c r="B11" s="29"/>
      <c r="C11" s="29"/>
      <c r="D11" s="48"/>
      <c r="E11" s="46"/>
      <c r="F11" s="46"/>
      <c r="G11" s="29"/>
      <c r="H11" s="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52" t="s">
        <v>15</v>
      </c>
      <c r="B12" s="16"/>
      <c r="C12" s="52" t="s">
        <v>18</v>
      </c>
      <c r="D12" s="16"/>
      <c r="E12" s="54" t="s">
        <v>47</v>
      </c>
      <c r="F12" s="54" t="s">
        <v>48</v>
      </c>
      <c r="G12" s="56" t="s">
        <v>49</v>
      </c>
      <c r="H12" s="56" t="s">
        <v>50</v>
      </c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59">
        <v>1.0</v>
      </c>
      <c r="B13" s="60" t="s">
        <v>51</v>
      </c>
      <c r="C13" s="59">
        <v>1.0</v>
      </c>
      <c r="D13" s="62" t="s">
        <v>52</v>
      </c>
      <c r="E13" s="63">
        <v>1.0</v>
      </c>
      <c r="F13" s="64">
        <v>1.0</v>
      </c>
      <c r="G13" s="65"/>
      <c r="H13" s="65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7"/>
      <c r="B14" s="67"/>
      <c r="C14" s="67"/>
      <c r="D14" s="67"/>
      <c r="E14" s="63">
        <v>2.0</v>
      </c>
      <c r="F14" s="64">
        <v>1.0</v>
      </c>
      <c r="G14" s="65"/>
      <c r="H14" s="65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7"/>
      <c r="B15" s="67"/>
      <c r="C15" s="67"/>
      <c r="D15" s="67"/>
      <c r="E15" s="63">
        <v>3.0</v>
      </c>
      <c r="F15" s="64">
        <v>1.0</v>
      </c>
      <c r="G15" s="65"/>
      <c r="H15" s="65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7"/>
      <c r="B16" s="67"/>
      <c r="C16" s="70"/>
      <c r="D16" s="70"/>
      <c r="E16" s="63">
        <v>4.0</v>
      </c>
      <c r="F16" s="64">
        <v>1.0</v>
      </c>
      <c r="G16" s="65"/>
      <c r="H16" s="65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7"/>
      <c r="B17" s="67"/>
      <c r="C17" s="59">
        <v>2.0</v>
      </c>
      <c r="D17" s="62" t="s">
        <v>53</v>
      </c>
      <c r="E17" s="63">
        <v>5.0</v>
      </c>
      <c r="F17" s="64">
        <v>1.0</v>
      </c>
      <c r="G17" s="65"/>
      <c r="H17" s="65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7"/>
      <c r="B18" s="67"/>
      <c r="C18" s="67"/>
      <c r="D18" s="67"/>
      <c r="E18" s="63">
        <v>6.0</v>
      </c>
      <c r="F18" s="64">
        <v>1.0</v>
      </c>
      <c r="G18" s="65"/>
      <c r="H18" s="65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7"/>
      <c r="B19" s="67"/>
      <c r="C19" s="67"/>
      <c r="D19" s="67"/>
      <c r="E19" s="63">
        <v>7.0</v>
      </c>
      <c r="F19" s="64">
        <v>1.0</v>
      </c>
      <c r="G19" s="65"/>
      <c r="H19" s="65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7"/>
      <c r="B20" s="67"/>
      <c r="C20" s="70"/>
      <c r="D20" s="70"/>
      <c r="E20" s="63">
        <v>8.0</v>
      </c>
      <c r="F20" s="64">
        <v>1.0</v>
      </c>
      <c r="G20" s="65"/>
      <c r="H20" s="65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67"/>
      <c r="B21" s="67"/>
      <c r="C21" s="59">
        <v>3.0</v>
      </c>
      <c r="D21" s="62" t="s">
        <v>54</v>
      </c>
      <c r="E21" s="63">
        <v>9.0</v>
      </c>
      <c r="F21" s="64">
        <v>1.0</v>
      </c>
      <c r="G21" s="65"/>
      <c r="H21" s="65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67"/>
      <c r="B22" s="67"/>
      <c r="C22" s="67"/>
      <c r="D22" s="67"/>
      <c r="E22" s="63">
        <v>10.0</v>
      </c>
      <c r="F22" s="64">
        <v>1.0</v>
      </c>
      <c r="G22" s="65"/>
      <c r="H22" s="65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67"/>
      <c r="B23" s="67"/>
      <c r="C23" s="67"/>
      <c r="D23" s="67"/>
      <c r="E23" s="63">
        <v>11.0</v>
      </c>
      <c r="F23" s="64">
        <v>0.0</v>
      </c>
      <c r="G23" s="65"/>
      <c r="H23" s="65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67"/>
      <c r="B24" s="67"/>
      <c r="C24" s="70"/>
      <c r="D24" s="70"/>
      <c r="E24" s="63">
        <v>12.0</v>
      </c>
      <c r="F24" s="64">
        <v>0.0</v>
      </c>
      <c r="G24" s="65"/>
      <c r="H24" s="65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67"/>
      <c r="B25" s="67"/>
      <c r="C25" s="59">
        <v>4.0</v>
      </c>
      <c r="D25" s="62" t="s">
        <v>55</v>
      </c>
      <c r="E25" s="63">
        <v>13.0</v>
      </c>
      <c r="F25" s="64">
        <v>1.0</v>
      </c>
      <c r="G25" s="65"/>
      <c r="H25" s="65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67"/>
      <c r="B26" s="67"/>
      <c r="C26" s="67"/>
      <c r="D26" s="67"/>
      <c r="E26" s="63">
        <v>14.0</v>
      </c>
      <c r="F26" s="64">
        <v>1.0</v>
      </c>
      <c r="G26" s="65"/>
      <c r="H26" s="65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67"/>
      <c r="B27" s="67"/>
      <c r="C27" s="67"/>
      <c r="D27" s="67"/>
      <c r="E27" s="63">
        <v>15.0</v>
      </c>
      <c r="F27" s="64">
        <v>1.0</v>
      </c>
      <c r="G27" s="65"/>
      <c r="H27" s="65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67"/>
      <c r="B28" s="67"/>
      <c r="C28" s="70"/>
      <c r="D28" s="70"/>
      <c r="E28" s="63">
        <v>16.0</v>
      </c>
      <c r="F28" s="64">
        <v>1.0</v>
      </c>
      <c r="G28" s="65"/>
      <c r="H28" s="65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67"/>
      <c r="B29" s="67"/>
      <c r="C29" s="59">
        <v>5.0</v>
      </c>
      <c r="D29" s="62" t="s">
        <v>56</v>
      </c>
      <c r="E29" s="63">
        <v>17.0</v>
      </c>
      <c r="F29" s="64">
        <v>1.0</v>
      </c>
      <c r="G29" s="65"/>
      <c r="H29" s="65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7"/>
      <c r="B30" s="67"/>
      <c r="C30" s="67"/>
      <c r="D30" s="67"/>
      <c r="E30" s="63">
        <v>18.0</v>
      </c>
      <c r="F30" s="64">
        <v>1.0</v>
      </c>
      <c r="G30" s="65"/>
      <c r="H30" s="65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67"/>
      <c r="B31" s="67"/>
      <c r="C31" s="67"/>
      <c r="D31" s="67"/>
      <c r="E31" s="63">
        <v>19.0</v>
      </c>
      <c r="F31" s="64">
        <v>1.0</v>
      </c>
      <c r="G31" s="65"/>
      <c r="H31" s="65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7"/>
      <c r="B32" s="67"/>
      <c r="C32" s="70"/>
      <c r="D32" s="70"/>
      <c r="E32" s="63">
        <v>20.0</v>
      </c>
      <c r="F32" s="64">
        <v>1.0</v>
      </c>
      <c r="G32" s="65"/>
      <c r="H32" s="65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67"/>
      <c r="B33" s="67"/>
      <c r="C33" s="59">
        <v>6.0</v>
      </c>
      <c r="D33" s="62" t="s">
        <v>58</v>
      </c>
      <c r="E33" s="63">
        <v>21.0</v>
      </c>
      <c r="F33" s="64">
        <v>1.0</v>
      </c>
      <c r="G33" s="65"/>
      <c r="H33" s="65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67"/>
      <c r="B34" s="67"/>
      <c r="C34" s="67"/>
      <c r="D34" s="67"/>
      <c r="E34" s="63">
        <v>22.0</v>
      </c>
      <c r="F34" s="64">
        <v>1.0</v>
      </c>
      <c r="G34" s="65"/>
      <c r="H34" s="65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67"/>
      <c r="B35" s="67"/>
      <c r="C35" s="67"/>
      <c r="D35" s="67"/>
      <c r="E35" s="63">
        <v>23.0</v>
      </c>
      <c r="F35" s="64">
        <v>1.0</v>
      </c>
      <c r="G35" s="65"/>
      <c r="H35" s="65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67"/>
      <c r="B36" s="67"/>
      <c r="C36" s="70"/>
      <c r="D36" s="70"/>
      <c r="E36" s="63">
        <v>24.0</v>
      </c>
      <c r="F36" s="64">
        <v>1.0</v>
      </c>
      <c r="G36" s="65"/>
      <c r="H36" s="65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67"/>
      <c r="B37" s="67"/>
      <c r="C37" s="59">
        <v>7.0</v>
      </c>
      <c r="D37" s="62" t="s">
        <v>59</v>
      </c>
      <c r="E37" s="63">
        <v>25.0</v>
      </c>
      <c r="F37" s="64">
        <v>1.0</v>
      </c>
      <c r="G37" s="65"/>
      <c r="H37" s="65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67"/>
      <c r="B38" s="67"/>
      <c r="C38" s="67"/>
      <c r="D38" s="67"/>
      <c r="E38" s="63">
        <v>26.0</v>
      </c>
      <c r="F38" s="64">
        <v>1.0</v>
      </c>
      <c r="G38" s="65"/>
      <c r="H38" s="65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7"/>
      <c r="B39" s="67"/>
      <c r="C39" s="67"/>
      <c r="D39" s="67"/>
      <c r="E39" s="63">
        <v>27.0</v>
      </c>
      <c r="F39" s="64">
        <v>1.0</v>
      </c>
      <c r="G39" s="65"/>
      <c r="H39" s="65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7"/>
      <c r="B40" s="67"/>
      <c r="C40" s="70"/>
      <c r="D40" s="70"/>
      <c r="E40" s="63">
        <v>28.0</v>
      </c>
      <c r="F40" s="64">
        <v>1.0</v>
      </c>
      <c r="G40" s="65"/>
      <c r="H40" s="65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7"/>
      <c r="B41" s="67"/>
      <c r="C41" s="59">
        <v>8.0</v>
      </c>
      <c r="D41" s="62" t="s">
        <v>66</v>
      </c>
      <c r="E41" s="63">
        <v>29.0</v>
      </c>
      <c r="F41" s="64">
        <v>1.0</v>
      </c>
      <c r="G41" s="65"/>
      <c r="H41" s="65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7"/>
      <c r="B42" s="67"/>
      <c r="C42" s="67"/>
      <c r="D42" s="67"/>
      <c r="E42" s="63">
        <v>30.0</v>
      </c>
      <c r="F42" s="64">
        <v>1.0</v>
      </c>
      <c r="G42" s="65"/>
      <c r="H42" s="65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7"/>
      <c r="B43" s="67"/>
      <c r="C43" s="67"/>
      <c r="D43" s="67"/>
      <c r="E43" s="63">
        <v>31.0</v>
      </c>
      <c r="F43" s="64">
        <v>1.0</v>
      </c>
      <c r="G43" s="65"/>
      <c r="H43" s="65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7"/>
      <c r="B44" s="67"/>
      <c r="C44" s="70"/>
      <c r="D44" s="70"/>
      <c r="E44" s="63">
        <v>32.0</v>
      </c>
      <c r="F44" s="64">
        <v>1.0</v>
      </c>
      <c r="G44" s="65"/>
      <c r="H44" s="65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7"/>
      <c r="B45" s="67"/>
      <c r="C45" s="59">
        <v>9.0</v>
      </c>
      <c r="D45" s="62" t="s">
        <v>67</v>
      </c>
      <c r="E45" s="63">
        <v>33.0</v>
      </c>
      <c r="F45" s="64">
        <v>1.0</v>
      </c>
      <c r="G45" s="65"/>
      <c r="H45" s="65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7"/>
      <c r="B46" s="67"/>
      <c r="C46" s="67"/>
      <c r="D46" s="67"/>
      <c r="E46" s="63">
        <v>34.0</v>
      </c>
      <c r="F46" s="64">
        <v>1.0</v>
      </c>
      <c r="G46" s="65"/>
      <c r="H46" s="65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7"/>
      <c r="B47" s="67"/>
      <c r="C47" s="67"/>
      <c r="D47" s="67"/>
      <c r="E47" s="63">
        <v>35.0</v>
      </c>
      <c r="F47" s="64">
        <v>1.0</v>
      </c>
      <c r="G47" s="65"/>
      <c r="H47" s="65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7"/>
      <c r="B48" s="67"/>
      <c r="C48" s="70"/>
      <c r="D48" s="70"/>
      <c r="E48" s="63">
        <v>36.0</v>
      </c>
      <c r="F48" s="64">
        <v>1.0</v>
      </c>
      <c r="G48" s="65"/>
      <c r="H48" s="65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7"/>
      <c r="B49" s="67"/>
      <c r="C49" s="59">
        <v>10.0</v>
      </c>
      <c r="D49" s="62" t="s">
        <v>72</v>
      </c>
      <c r="E49" s="63">
        <v>37.0</v>
      </c>
      <c r="F49" s="64">
        <v>0.0</v>
      </c>
      <c r="G49" s="65"/>
      <c r="H49" s="65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7"/>
      <c r="B50" s="67"/>
      <c r="C50" s="67"/>
      <c r="D50" s="67"/>
      <c r="E50" s="63">
        <v>38.0</v>
      </c>
      <c r="F50" s="64">
        <v>0.0</v>
      </c>
      <c r="G50" s="65"/>
      <c r="H50" s="65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7"/>
      <c r="B51" s="67"/>
      <c r="C51" s="67"/>
      <c r="D51" s="67"/>
      <c r="E51" s="63">
        <v>39.0</v>
      </c>
      <c r="F51" s="64">
        <v>0.0</v>
      </c>
      <c r="G51" s="65"/>
      <c r="H51" s="65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7"/>
      <c r="B52" s="67"/>
      <c r="C52" s="70"/>
      <c r="D52" s="70"/>
      <c r="E52" s="63">
        <v>40.0</v>
      </c>
      <c r="F52" s="64">
        <v>0.0</v>
      </c>
      <c r="G52" s="65"/>
      <c r="H52" s="65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7"/>
      <c r="B53" s="67"/>
      <c r="C53" s="59">
        <v>11.0</v>
      </c>
      <c r="D53" s="62" t="s">
        <v>79</v>
      </c>
      <c r="E53" s="63">
        <v>41.0</v>
      </c>
      <c r="F53" s="64">
        <v>1.0</v>
      </c>
      <c r="G53" s="65"/>
      <c r="H53" s="65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7"/>
      <c r="B54" s="67"/>
      <c r="C54" s="67"/>
      <c r="D54" s="67"/>
      <c r="E54" s="63">
        <v>42.0</v>
      </c>
      <c r="F54" s="64">
        <v>1.0</v>
      </c>
      <c r="G54" s="65"/>
      <c r="H54" s="65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7"/>
      <c r="B55" s="67"/>
      <c r="C55" s="67"/>
      <c r="D55" s="67"/>
      <c r="E55" s="63">
        <v>43.0</v>
      </c>
      <c r="F55" s="64">
        <v>1.0</v>
      </c>
      <c r="G55" s="65"/>
      <c r="H55" s="65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7"/>
      <c r="B56" s="67"/>
      <c r="C56" s="70"/>
      <c r="D56" s="70"/>
      <c r="E56" s="63">
        <v>44.0</v>
      </c>
      <c r="F56" s="64">
        <v>1.0</v>
      </c>
      <c r="G56" s="65"/>
      <c r="H56" s="65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7"/>
      <c r="B57" s="67"/>
      <c r="C57" s="59">
        <v>12.0</v>
      </c>
      <c r="D57" s="62" t="s">
        <v>81</v>
      </c>
      <c r="E57" s="63">
        <v>45.0</v>
      </c>
      <c r="F57" s="64">
        <v>1.0</v>
      </c>
      <c r="G57" s="65"/>
      <c r="H57" s="65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7"/>
      <c r="B58" s="67"/>
      <c r="C58" s="67"/>
      <c r="D58" s="67"/>
      <c r="E58" s="63">
        <v>46.0</v>
      </c>
      <c r="F58" s="64">
        <v>1.0</v>
      </c>
      <c r="G58" s="65"/>
      <c r="H58" s="65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7"/>
      <c r="B59" s="67"/>
      <c r="C59" s="67"/>
      <c r="D59" s="67"/>
      <c r="E59" s="63">
        <v>47.0</v>
      </c>
      <c r="F59" s="64">
        <v>1.0</v>
      </c>
      <c r="G59" s="65"/>
      <c r="H59" s="65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7"/>
      <c r="B60" s="67"/>
      <c r="C60" s="70"/>
      <c r="D60" s="70"/>
      <c r="E60" s="63">
        <v>48.0</v>
      </c>
      <c r="F60" s="64">
        <v>1.0</v>
      </c>
      <c r="G60" s="65"/>
      <c r="H60" s="65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7"/>
      <c r="B61" s="67"/>
      <c r="C61" s="59">
        <v>13.0</v>
      </c>
      <c r="D61" s="62" t="s">
        <v>82</v>
      </c>
      <c r="E61" s="63">
        <v>49.0</v>
      </c>
      <c r="F61" s="64">
        <v>1.0</v>
      </c>
      <c r="G61" s="65"/>
      <c r="H61" s="65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7"/>
      <c r="B62" s="67"/>
      <c r="C62" s="67"/>
      <c r="D62" s="67"/>
      <c r="E62" s="63">
        <v>50.0</v>
      </c>
      <c r="F62" s="64">
        <v>1.0</v>
      </c>
      <c r="G62" s="65"/>
      <c r="H62" s="65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7"/>
      <c r="B63" s="67"/>
      <c r="C63" s="67"/>
      <c r="D63" s="67"/>
      <c r="E63" s="63">
        <v>51.0</v>
      </c>
      <c r="F63" s="64">
        <v>1.0</v>
      </c>
      <c r="G63" s="65"/>
      <c r="H63" s="65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7"/>
      <c r="B64" s="67"/>
      <c r="C64" s="70"/>
      <c r="D64" s="70"/>
      <c r="E64" s="63">
        <v>52.0</v>
      </c>
      <c r="F64" s="64">
        <v>1.0</v>
      </c>
      <c r="G64" s="65"/>
      <c r="H64" s="65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7"/>
      <c r="B65" s="67"/>
      <c r="C65" s="59">
        <v>14.0</v>
      </c>
      <c r="D65" s="60" t="s">
        <v>83</v>
      </c>
      <c r="E65" s="63">
        <v>53.0</v>
      </c>
      <c r="F65" s="64">
        <v>0.0</v>
      </c>
      <c r="G65" s="65"/>
      <c r="H65" s="65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7"/>
      <c r="B66" s="67"/>
      <c r="C66" s="67"/>
      <c r="D66" s="67"/>
      <c r="E66" s="63">
        <v>54.0</v>
      </c>
      <c r="F66" s="64">
        <v>0.0</v>
      </c>
      <c r="G66" s="65"/>
      <c r="H66" s="65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7"/>
      <c r="B67" s="67"/>
      <c r="C67" s="67"/>
      <c r="D67" s="67"/>
      <c r="E67" s="63">
        <v>55.0</v>
      </c>
      <c r="F67" s="64">
        <v>0.0</v>
      </c>
      <c r="G67" s="65"/>
      <c r="H67" s="65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70"/>
      <c r="B68" s="70"/>
      <c r="C68" s="70"/>
      <c r="D68" s="70"/>
      <c r="E68" s="63">
        <v>56.0</v>
      </c>
      <c r="F68" s="64">
        <v>1.0</v>
      </c>
      <c r="G68" s="65"/>
      <c r="H68" s="65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0" customHeight="1">
      <c r="A69" s="59">
        <v>2.0</v>
      </c>
      <c r="B69" s="115" t="s">
        <v>84</v>
      </c>
      <c r="C69" s="59">
        <v>15.0</v>
      </c>
      <c r="D69" s="115" t="s">
        <v>86</v>
      </c>
      <c r="E69" s="63">
        <v>57.0</v>
      </c>
      <c r="F69" s="64">
        <v>0.0</v>
      </c>
      <c r="G69" s="65"/>
      <c r="H69" s="65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7"/>
      <c r="B70" s="67"/>
      <c r="C70" s="67"/>
      <c r="D70" s="67"/>
      <c r="E70" s="63">
        <v>58.0</v>
      </c>
      <c r="F70" s="64">
        <v>0.0</v>
      </c>
      <c r="G70" s="65"/>
      <c r="H70" s="65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7"/>
      <c r="B71" s="67"/>
      <c r="C71" s="67"/>
      <c r="D71" s="67"/>
      <c r="E71" s="63">
        <v>59.0</v>
      </c>
      <c r="F71" s="64">
        <v>0.0</v>
      </c>
      <c r="G71" s="65"/>
      <c r="H71" s="65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7"/>
      <c r="B72" s="67"/>
      <c r="C72" s="70"/>
      <c r="D72" s="70"/>
      <c r="E72" s="63">
        <v>60.0</v>
      </c>
      <c r="F72" s="64">
        <v>0.0</v>
      </c>
      <c r="G72" s="65"/>
      <c r="H72" s="65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7"/>
      <c r="B73" s="67"/>
      <c r="C73" s="59">
        <v>16.0</v>
      </c>
      <c r="D73" s="115" t="s">
        <v>89</v>
      </c>
      <c r="E73" s="63">
        <v>61.0</v>
      </c>
      <c r="F73" s="64">
        <v>1.0</v>
      </c>
      <c r="G73" s="65"/>
      <c r="H73" s="65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7"/>
      <c r="B74" s="67"/>
      <c r="C74" s="67"/>
      <c r="D74" s="67"/>
      <c r="E74" s="63">
        <v>62.0</v>
      </c>
      <c r="F74" s="64">
        <v>1.0</v>
      </c>
      <c r="G74" s="65"/>
      <c r="H74" s="65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7"/>
      <c r="B75" s="67"/>
      <c r="C75" s="67"/>
      <c r="D75" s="67"/>
      <c r="E75" s="63">
        <v>63.0</v>
      </c>
      <c r="F75" s="64">
        <v>1.0</v>
      </c>
      <c r="G75" s="65"/>
      <c r="H75" s="65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7"/>
      <c r="B76" s="67"/>
      <c r="C76" s="70"/>
      <c r="D76" s="70"/>
      <c r="E76" s="63">
        <v>64.0</v>
      </c>
      <c r="F76" s="64">
        <v>1.0</v>
      </c>
      <c r="G76" s="65"/>
      <c r="H76" s="65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7"/>
      <c r="B77" s="67"/>
      <c r="C77" s="59">
        <v>17.0</v>
      </c>
      <c r="D77" s="115" t="s">
        <v>90</v>
      </c>
      <c r="E77" s="63">
        <v>65.0</v>
      </c>
      <c r="F77" s="64">
        <v>1.0</v>
      </c>
      <c r="G77" s="65"/>
      <c r="H77" s="65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7"/>
      <c r="B78" s="67"/>
      <c r="C78" s="67"/>
      <c r="D78" s="67"/>
      <c r="E78" s="63">
        <v>66.0</v>
      </c>
      <c r="F78" s="64">
        <v>1.0</v>
      </c>
      <c r="G78" s="65"/>
      <c r="H78" s="65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7"/>
      <c r="B79" s="67"/>
      <c r="C79" s="67"/>
      <c r="D79" s="67"/>
      <c r="E79" s="63">
        <v>67.0</v>
      </c>
      <c r="F79" s="64">
        <v>1.0</v>
      </c>
      <c r="G79" s="65"/>
      <c r="H79" s="65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7"/>
      <c r="B80" s="67"/>
      <c r="C80" s="70"/>
      <c r="D80" s="70"/>
      <c r="E80" s="63">
        <v>68.0</v>
      </c>
      <c r="F80" s="64">
        <v>1.0</v>
      </c>
      <c r="G80" s="65"/>
      <c r="H80" s="65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7"/>
      <c r="B81" s="67"/>
      <c r="C81" s="59">
        <v>18.0</v>
      </c>
      <c r="D81" s="115" t="s">
        <v>91</v>
      </c>
      <c r="E81" s="63">
        <v>69.0</v>
      </c>
      <c r="F81" s="64">
        <v>0.0</v>
      </c>
      <c r="G81" s="65"/>
      <c r="H81" s="65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7"/>
      <c r="B82" s="67"/>
      <c r="C82" s="67"/>
      <c r="D82" s="67"/>
      <c r="E82" s="63">
        <v>70.0</v>
      </c>
      <c r="F82" s="64">
        <v>0.0</v>
      </c>
      <c r="G82" s="65"/>
      <c r="H82" s="65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7"/>
      <c r="B83" s="67"/>
      <c r="C83" s="67"/>
      <c r="D83" s="67"/>
      <c r="E83" s="63">
        <v>71.0</v>
      </c>
      <c r="F83" s="64">
        <v>0.0</v>
      </c>
      <c r="G83" s="65"/>
      <c r="H83" s="65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7"/>
      <c r="B84" s="67"/>
      <c r="C84" s="70"/>
      <c r="D84" s="70"/>
      <c r="E84" s="63">
        <v>72.0</v>
      </c>
      <c r="F84" s="64">
        <v>0.0</v>
      </c>
      <c r="G84" s="65"/>
      <c r="H84" s="65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7"/>
      <c r="B85" s="67"/>
      <c r="C85" s="59">
        <v>19.0</v>
      </c>
      <c r="D85" s="115" t="s">
        <v>92</v>
      </c>
      <c r="E85" s="63">
        <v>73.0</v>
      </c>
      <c r="F85" s="64">
        <v>0.0</v>
      </c>
      <c r="G85" s="65"/>
      <c r="H85" s="65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7"/>
      <c r="B86" s="67"/>
      <c r="C86" s="67"/>
      <c r="D86" s="67"/>
      <c r="E86" s="63">
        <v>74.0</v>
      </c>
      <c r="F86" s="64">
        <v>0.0</v>
      </c>
      <c r="G86" s="65"/>
      <c r="H86" s="65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7"/>
      <c r="B87" s="67"/>
      <c r="C87" s="67"/>
      <c r="D87" s="67"/>
      <c r="E87" s="63">
        <v>75.0</v>
      </c>
      <c r="F87" s="64">
        <v>0.0</v>
      </c>
      <c r="G87" s="65"/>
      <c r="H87" s="65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70"/>
      <c r="B88" s="70"/>
      <c r="C88" s="70"/>
      <c r="D88" s="70"/>
      <c r="E88" s="63">
        <v>76.0</v>
      </c>
      <c r="F88" s="64">
        <v>0.0</v>
      </c>
      <c r="G88" s="65"/>
      <c r="H88" s="65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59">
        <v>3.0</v>
      </c>
      <c r="B89" s="115" t="s">
        <v>93</v>
      </c>
      <c r="C89" s="59">
        <v>20.0</v>
      </c>
      <c r="D89" s="115" t="s">
        <v>94</v>
      </c>
      <c r="E89" s="63">
        <v>77.0</v>
      </c>
      <c r="F89" s="64">
        <v>1.0</v>
      </c>
      <c r="G89" s="65"/>
      <c r="H89" s="65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7"/>
      <c r="B90" s="67"/>
      <c r="C90" s="67"/>
      <c r="D90" s="67"/>
      <c r="E90" s="63">
        <v>78.0</v>
      </c>
      <c r="F90" s="64">
        <v>1.0</v>
      </c>
      <c r="G90" s="65"/>
      <c r="H90" s="65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7"/>
      <c r="B91" s="67"/>
      <c r="C91" s="67"/>
      <c r="D91" s="67"/>
      <c r="E91" s="63">
        <v>79.0</v>
      </c>
      <c r="F91" s="64">
        <v>1.0</v>
      </c>
      <c r="G91" s="65"/>
      <c r="H91" s="65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7"/>
      <c r="B92" s="67"/>
      <c r="C92" s="70"/>
      <c r="D92" s="70"/>
      <c r="E92" s="63">
        <v>80.0</v>
      </c>
      <c r="F92" s="64">
        <v>1.0</v>
      </c>
      <c r="G92" s="65"/>
      <c r="H92" s="65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7"/>
      <c r="B93" s="67"/>
      <c r="C93" s="59">
        <v>21.0</v>
      </c>
      <c r="D93" s="115" t="s">
        <v>95</v>
      </c>
      <c r="E93" s="63">
        <v>81.0</v>
      </c>
      <c r="F93" s="64">
        <v>0.0</v>
      </c>
      <c r="G93" s="65"/>
      <c r="H93" s="65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7"/>
      <c r="B94" s="67"/>
      <c r="C94" s="67"/>
      <c r="D94" s="67"/>
      <c r="E94" s="63">
        <v>82.0</v>
      </c>
      <c r="F94" s="64">
        <v>0.0</v>
      </c>
      <c r="G94" s="65"/>
      <c r="H94" s="65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7"/>
      <c r="B95" s="67"/>
      <c r="C95" s="67"/>
      <c r="D95" s="67"/>
      <c r="E95" s="63">
        <v>83.0</v>
      </c>
      <c r="F95" s="64">
        <v>0.0</v>
      </c>
      <c r="G95" s="65"/>
      <c r="H95" s="65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7"/>
      <c r="B96" s="67"/>
      <c r="C96" s="70"/>
      <c r="D96" s="70"/>
      <c r="E96" s="63">
        <v>84.0</v>
      </c>
      <c r="F96" s="64">
        <v>0.0</v>
      </c>
      <c r="G96" s="65"/>
      <c r="H96" s="65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7"/>
      <c r="B97" s="67"/>
      <c r="C97" s="59">
        <v>22.0</v>
      </c>
      <c r="D97" s="115" t="s">
        <v>96</v>
      </c>
      <c r="E97" s="63">
        <v>85.0</v>
      </c>
      <c r="F97" s="64">
        <v>0.0</v>
      </c>
      <c r="G97" s="65"/>
      <c r="H97" s="65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7"/>
      <c r="B98" s="67"/>
      <c r="C98" s="67"/>
      <c r="D98" s="67"/>
      <c r="E98" s="63">
        <v>86.0</v>
      </c>
      <c r="F98" s="64">
        <v>0.0</v>
      </c>
      <c r="G98" s="65"/>
      <c r="H98" s="65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7"/>
      <c r="B99" s="67"/>
      <c r="C99" s="67"/>
      <c r="D99" s="67"/>
      <c r="E99" s="63">
        <v>87.0</v>
      </c>
      <c r="F99" s="64">
        <v>0.0</v>
      </c>
      <c r="G99" s="65"/>
      <c r="H99" s="65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70"/>
      <c r="B100" s="70"/>
      <c r="C100" s="70"/>
      <c r="D100" s="70"/>
      <c r="E100" s="63">
        <v>88.0</v>
      </c>
      <c r="F100" s="64">
        <v>0.0</v>
      </c>
      <c r="G100" s="65"/>
      <c r="H100" s="65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0" customHeight="1">
      <c r="A101" s="59">
        <v>4.0</v>
      </c>
      <c r="B101" s="115" t="s">
        <v>97</v>
      </c>
      <c r="C101" s="59">
        <v>23.0</v>
      </c>
      <c r="D101" s="115" t="s">
        <v>98</v>
      </c>
      <c r="E101" s="63">
        <v>89.0</v>
      </c>
      <c r="F101" s="64">
        <v>0.0</v>
      </c>
      <c r="G101" s="65"/>
      <c r="H101" s="65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7"/>
      <c r="B102" s="67"/>
      <c r="C102" s="67"/>
      <c r="D102" s="67"/>
      <c r="E102" s="63">
        <v>90.0</v>
      </c>
      <c r="F102" s="64">
        <v>0.0</v>
      </c>
      <c r="G102" s="65"/>
      <c r="H102" s="65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7"/>
      <c r="B103" s="67"/>
      <c r="C103" s="67"/>
      <c r="D103" s="67"/>
      <c r="E103" s="63">
        <v>91.0</v>
      </c>
      <c r="F103" s="64">
        <v>0.0</v>
      </c>
      <c r="G103" s="65"/>
      <c r="H103" s="65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7"/>
      <c r="B104" s="67"/>
      <c r="C104" s="70"/>
      <c r="D104" s="70"/>
      <c r="E104" s="63">
        <v>92.0</v>
      </c>
      <c r="F104" s="64">
        <v>0.0</v>
      </c>
      <c r="G104" s="65"/>
      <c r="H104" s="65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7"/>
      <c r="B105" s="67"/>
      <c r="C105" s="59">
        <v>24.0</v>
      </c>
      <c r="D105" s="115" t="s">
        <v>99</v>
      </c>
      <c r="E105" s="63">
        <v>93.0</v>
      </c>
      <c r="F105" s="64">
        <v>1.0</v>
      </c>
      <c r="G105" s="65"/>
      <c r="H105" s="65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7"/>
      <c r="B106" s="67"/>
      <c r="C106" s="67"/>
      <c r="D106" s="67"/>
      <c r="E106" s="63">
        <v>94.0</v>
      </c>
      <c r="F106" s="64">
        <v>1.0</v>
      </c>
      <c r="G106" s="65"/>
      <c r="H106" s="65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7"/>
      <c r="B107" s="67"/>
      <c r="C107" s="67"/>
      <c r="D107" s="67"/>
      <c r="E107" s="63">
        <v>95.0</v>
      </c>
      <c r="F107" s="64">
        <v>1.0</v>
      </c>
      <c r="G107" s="65"/>
      <c r="H107" s="65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7"/>
      <c r="B108" s="67"/>
      <c r="C108" s="70"/>
      <c r="D108" s="70"/>
      <c r="E108" s="63">
        <v>96.0</v>
      </c>
      <c r="F108" s="64">
        <v>1.0</v>
      </c>
      <c r="G108" s="65"/>
      <c r="H108" s="65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7"/>
      <c r="B109" s="67"/>
      <c r="C109" s="59">
        <v>25.0</v>
      </c>
      <c r="D109" s="115" t="s">
        <v>100</v>
      </c>
      <c r="E109" s="63">
        <v>97.0</v>
      </c>
      <c r="F109" s="64">
        <v>1.0</v>
      </c>
      <c r="G109" s="65"/>
      <c r="H109" s="65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7"/>
      <c r="B110" s="67"/>
      <c r="C110" s="67"/>
      <c r="D110" s="67"/>
      <c r="E110" s="63">
        <v>98.0</v>
      </c>
      <c r="F110" s="64">
        <v>1.0</v>
      </c>
      <c r="G110" s="65"/>
      <c r="H110" s="65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7"/>
      <c r="B111" s="67"/>
      <c r="C111" s="67"/>
      <c r="D111" s="67"/>
      <c r="E111" s="63">
        <v>99.0</v>
      </c>
      <c r="F111" s="64">
        <v>1.0</v>
      </c>
      <c r="G111" s="65"/>
      <c r="H111" s="65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7"/>
      <c r="B112" s="67"/>
      <c r="C112" s="70"/>
      <c r="D112" s="70"/>
      <c r="E112" s="63">
        <v>100.0</v>
      </c>
      <c r="F112" s="64">
        <v>1.0</v>
      </c>
      <c r="G112" s="65"/>
      <c r="H112" s="65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7"/>
      <c r="B113" s="67"/>
      <c r="C113" s="59">
        <v>26.0</v>
      </c>
      <c r="D113" s="115" t="s">
        <v>101</v>
      </c>
      <c r="E113" s="63">
        <v>101.0</v>
      </c>
      <c r="F113" s="64">
        <v>1.0</v>
      </c>
      <c r="G113" s="65"/>
      <c r="H113" s="65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7"/>
      <c r="B114" s="67"/>
      <c r="C114" s="67"/>
      <c r="D114" s="67"/>
      <c r="E114" s="63">
        <v>102.0</v>
      </c>
      <c r="F114" s="64">
        <v>1.0</v>
      </c>
      <c r="G114" s="65"/>
      <c r="H114" s="65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7"/>
      <c r="B115" s="67"/>
      <c r="C115" s="67"/>
      <c r="D115" s="67"/>
      <c r="E115" s="63">
        <v>103.0</v>
      </c>
      <c r="F115" s="64">
        <v>1.0</v>
      </c>
      <c r="G115" s="65"/>
      <c r="H115" s="65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7"/>
      <c r="B116" s="67"/>
      <c r="C116" s="70"/>
      <c r="D116" s="70"/>
      <c r="E116" s="63">
        <v>104.0</v>
      </c>
      <c r="F116" s="64">
        <v>1.0</v>
      </c>
      <c r="G116" s="65"/>
      <c r="H116" s="65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7"/>
      <c r="B117" s="67"/>
      <c r="C117" s="59">
        <v>27.0</v>
      </c>
      <c r="D117" s="115" t="s">
        <v>102</v>
      </c>
      <c r="E117" s="63">
        <v>105.0</v>
      </c>
      <c r="F117" s="64">
        <v>0.0</v>
      </c>
      <c r="G117" s="65"/>
      <c r="H117" s="65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7"/>
      <c r="B118" s="67"/>
      <c r="C118" s="67"/>
      <c r="D118" s="67"/>
      <c r="E118" s="63">
        <v>106.0</v>
      </c>
      <c r="F118" s="64">
        <v>0.0</v>
      </c>
      <c r="G118" s="65"/>
      <c r="H118" s="65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7"/>
      <c r="B119" s="67"/>
      <c r="C119" s="67"/>
      <c r="D119" s="67"/>
      <c r="E119" s="63">
        <v>107.0</v>
      </c>
      <c r="F119" s="64">
        <v>0.0</v>
      </c>
      <c r="G119" s="117"/>
      <c r="H119" s="65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7"/>
      <c r="B120" s="67"/>
      <c r="C120" s="70"/>
      <c r="D120" s="70"/>
      <c r="E120" s="63">
        <v>108.0</v>
      </c>
      <c r="F120" s="64">
        <v>0.0</v>
      </c>
      <c r="G120" s="65"/>
      <c r="H120" s="65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7"/>
      <c r="B121" s="67"/>
      <c r="C121" s="59">
        <v>28.0</v>
      </c>
      <c r="D121" s="115" t="s">
        <v>103</v>
      </c>
      <c r="E121" s="63">
        <v>109.0</v>
      </c>
      <c r="F121" s="64">
        <v>0.0</v>
      </c>
      <c r="G121" s="65"/>
      <c r="H121" s="65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7"/>
      <c r="B122" s="67"/>
      <c r="C122" s="67"/>
      <c r="D122" s="67"/>
      <c r="E122" s="63">
        <v>110.0</v>
      </c>
      <c r="F122" s="64">
        <v>0.0</v>
      </c>
      <c r="G122" s="65"/>
      <c r="H122" s="65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7"/>
      <c r="B123" s="67"/>
      <c r="C123" s="67"/>
      <c r="D123" s="67"/>
      <c r="E123" s="63">
        <v>111.0</v>
      </c>
      <c r="F123" s="64">
        <v>0.0</v>
      </c>
      <c r="G123" s="65"/>
      <c r="H123" s="65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70"/>
      <c r="B124" s="70"/>
      <c r="C124" s="70"/>
      <c r="D124" s="70"/>
      <c r="E124" s="63">
        <v>112.0</v>
      </c>
      <c r="F124" s="64">
        <v>0.0</v>
      </c>
      <c r="G124" s="65"/>
      <c r="H124" s="65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59">
        <v>5.0</v>
      </c>
      <c r="B125" s="115" t="s">
        <v>104</v>
      </c>
      <c r="C125" s="59">
        <v>29.0</v>
      </c>
      <c r="D125" s="115" t="s">
        <v>105</v>
      </c>
      <c r="E125" s="63">
        <v>113.0</v>
      </c>
      <c r="F125" s="64">
        <v>0.0</v>
      </c>
      <c r="G125" s="65"/>
      <c r="H125" s="65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7"/>
      <c r="B126" s="67"/>
      <c r="C126" s="67"/>
      <c r="D126" s="67"/>
      <c r="E126" s="63">
        <v>114.0</v>
      </c>
      <c r="F126" s="64">
        <v>0.0</v>
      </c>
      <c r="G126" s="65"/>
      <c r="H126" s="65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7"/>
      <c r="B127" s="67"/>
      <c r="C127" s="67"/>
      <c r="D127" s="67"/>
      <c r="E127" s="63">
        <v>115.0</v>
      </c>
      <c r="F127" s="64">
        <v>0.0</v>
      </c>
      <c r="G127" s="65"/>
      <c r="H127" s="65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7"/>
      <c r="B128" s="67"/>
      <c r="C128" s="70"/>
      <c r="D128" s="70"/>
      <c r="E128" s="63">
        <v>116.0</v>
      </c>
      <c r="F128" s="64">
        <v>0.0</v>
      </c>
      <c r="G128" s="65"/>
      <c r="H128" s="65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7"/>
      <c r="B129" s="67"/>
      <c r="C129" s="59">
        <v>30.0</v>
      </c>
      <c r="D129" s="115" t="s">
        <v>106</v>
      </c>
      <c r="E129" s="63">
        <v>117.0</v>
      </c>
      <c r="F129" s="64">
        <v>0.0</v>
      </c>
      <c r="G129" s="65"/>
      <c r="H129" s="65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7"/>
      <c r="B130" s="67"/>
      <c r="C130" s="67"/>
      <c r="D130" s="67"/>
      <c r="E130" s="63">
        <v>118.0</v>
      </c>
      <c r="F130" s="64">
        <v>0.0</v>
      </c>
      <c r="G130" s="65"/>
      <c r="H130" s="65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7"/>
      <c r="B131" s="67"/>
      <c r="C131" s="67"/>
      <c r="D131" s="67"/>
      <c r="E131" s="63">
        <v>119.0</v>
      </c>
      <c r="F131" s="64">
        <v>0.0</v>
      </c>
      <c r="G131" s="65"/>
      <c r="H131" s="65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7"/>
      <c r="B132" s="67"/>
      <c r="C132" s="70"/>
      <c r="D132" s="70"/>
      <c r="E132" s="63">
        <v>120.0</v>
      </c>
      <c r="F132" s="64">
        <v>0.0</v>
      </c>
      <c r="G132" s="65"/>
      <c r="H132" s="65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7"/>
      <c r="B133" s="67"/>
      <c r="C133" s="59">
        <v>31.0</v>
      </c>
      <c r="D133" s="115" t="s">
        <v>107</v>
      </c>
      <c r="E133" s="63">
        <v>121.0</v>
      </c>
      <c r="F133" s="64">
        <v>0.0</v>
      </c>
      <c r="G133" s="65"/>
      <c r="H133" s="65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7"/>
      <c r="B134" s="67"/>
      <c r="C134" s="67"/>
      <c r="D134" s="67"/>
      <c r="E134" s="63">
        <v>122.0</v>
      </c>
      <c r="F134" s="64">
        <v>0.0</v>
      </c>
      <c r="G134" s="65"/>
      <c r="H134" s="65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7"/>
      <c r="B135" s="67"/>
      <c r="C135" s="67"/>
      <c r="D135" s="67"/>
      <c r="E135" s="63">
        <v>123.0</v>
      </c>
      <c r="F135" s="64">
        <v>0.0</v>
      </c>
      <c r="G135" s="65"/>
      <c r="H135" s="65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7"/>
      <c r="B136" s="67"/>
      <c r="C136" s="70"/>
      <c r="D136" s="70"/>
      <c r="E136" s="63">
        <v>124.0</v>
      </c>
      <c r="F136" s="64">
        <v>0.0</v>
      </c>
      <c r="G136" s="65"/>
      <c r="H136" s="65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7"/>
      <c r="B137" s="67"/>
      <c r="C137" s="59">
        <v>32.0</v>
      </c>
      <c r="D137" s="115" t="s">
        <v>108</v>
      </c>
      <c r="E137" s="63">
        <v>125.0</v>
      </c>
      <c r="F137" s="64">
        <v>1.0</v>
      </c>
      <c r="G137" s="1"/>
      <c r="H137" s="1"/>
    </row>
    <row r="138" ht="15.75" customHeight="1">
      <c r="A138" s="67"/>
      <c r="B138" s="67"/>
      <c r="C138" s="67"/>
      <c r="D138" s="67"/>
      <c r="E138" s="63">
        <v>126.0</v>
      </c>
      <c r="F138" s="64">
        <v>1.0</v>
      </c>
      <c r="G138" s="1"/>
      <c r="H138" s="1"/>
    </row>
    <row r="139" ht="15.75" customHeight="1">
      <c r="A139" s="67"/>
      <c r="B139" s="67"/>
      <c r="C139" s="67"/>
      <c r="D139" s="67"/>
      <c r="E139" s="63">
        <v>127.0</v>
      </c>
      <c r="F139" s="64">
        <v>1.0</v>
      </c>
      <c r="G139" s="1"/>
      <c r="H139" s="1"/>
    </row>
    <row r="140" ht="15.75" customHeight="1">
      <c r="A140" s="70"/>
      <c r="B140" s="70"/>
      <c r="C140" s="70"/>
      <c r="D140" s="70"/>
      <c r="E140" s="63">
        <v>128.0</v>
      </c>
      <c r="F140" s="64">
        <v>1.0</v>
      </c>
      <c r="G140" s="1"/>
      <c r="H140" s="1"/>
    </row>
    <row r="141" ht="15.75" hidden="1" customHeight="1">
      <c r="E141" s="118"/>
      <c r="F141" s="118"/>
    </row>
    <row r="142" ht="15.75" hidden="1" customHeight="1">
      <c r="E142" s="118"/>
      <c r="F142" s="118"/>
    </row>
    <row r="143" ht="15.75" customHeight="1">
      <c r="E143" s="118"/>
      <c r="F143" s="118"/>
    </row>
    <row r="144" ht="15.75" customHeight="1">
      <c r="E144" s="118"/>
      <c r="F144" s="118"/>
    </row>
    <row r="145" ht="15.75" customHeight="1">
      <c r="E145" s="118"/>
      <c r="F145" s="118"/>
    </row>
    <row r="146" ht="15.75" customHeight="1">
      <c r="E146" s="118"/>
      <c r="F146" s="118"/>
    </row>
    <row r="147" ht="15.75" customHeight="1">
      <c r="E147" s="118"/>
      <c r="F147" s="118"/>
    </row>
    <row r="148" ht="15.75" customHeight="1">
      <c r="E148" s="118"/>
      <c r="F148" s="118"/>
    </row>
    <row r="149" ht="15.75" customHeight="1">
      <c r="E149" s="118"/>
      <c r="F149" s="118"/>
    </row>
    <row r="150" ht="15.75" customHeight="1">
      <c r="E150" s="118"/>
      <c r="F150" s="118"/>
    </row>
    <row r="151" ht="15.75" customHeight="1">
      <c r="E151" s="118"/>
      <c r="F151" s="118"/>
    </row>
    <row r="152" ht="15.75" customHeight="1">
      <c r="E152" s="118"/>
      <c r="F152" s="118"/>
    </row>
    <row r="153" ht="15.75" customHeight="1">
      <c r="E153" s="118"/>
      <c r="F153" s="118"/>
    </row>
    <row r="154" ht="15.75" customHeight="1">
      <c r="E154" s="118"/>
      <c r="F154" s="118"/>
    </row>
    <row r="155" ht="15.75" customHeight="1">
      <c r="E155" s="118"/>
      <c r="F155" s="118"/>
    </row>
    <row r="156" ht="15.75" customHeight="1">
      <c r="E156" s="118"/>
      <c r="F156" s="118"/>
    </row>
    <row r="157" ht="15.75" customHeight="1">
      <c r="E157" s="118"/>
      <c r="F157" s="118"/>
    </row>
    <row r="158" ht="15.75" customHeight="1">
      <c r="E158" s="118"/>
      <c r="F158" s="118"/>
    </row>
    <row r="159" ht="15.75" customHeight="1">
      <c r="E159" s="118"/>
      <c r="F159" s="118"/>
    </row>
    <row r="160" ht="15.75" customHeight="1">
      <c r="E160" s="118"/>
      <c r="F160" s="118"/>
    </row>
    <row r="161" ht="15.75" customHeight="1">
      <c r="E161" s="118"/>
      <c r="F161" s="118"/>
    </row>
    <row r="162" ht="15.75" customHeight="1">
      <c r="E162" s="118"/>
      <c r="F162" s="118"/>
    </row>
    <row r="163" ht="15.75" customHeight="1">
      <c r="E163" s="118"/>
      <c r="F163" s="118"/>
    </row>
    <row r="164" ht="15.75" customHeight="1">
      <c r="E164" s="118"/>
      <c r="F164" s="118"/>
    </row>
    <row r="165" ht="15.75" customHeight="1">
      <c r="E165" s="118"/>
      <c r="F165" s="118"/>
    </row>
    <row r="166" ht="15.75" customHeight="1">
      <c r="E166" s="118"/>
      <c r="F166" s="118"/>
    </row>
    <row r="167" ht="15.75" customHeight="1">
      <c r="E167" s="118"/>
      <c r="F167" s="118"/>
    </row>
    <row r="168" ht="15.75" customHeight="1">
      <c r="E168" s="118"/>
      <c r="F168" s="118"/>
    </row>
    <row r="169" ht="15.75" customHeight="1">
      <c r="E169" s="118"/>
      <c r="F169" s="118"/>
    </row>
    <row r="170" ht="15.75" customHeight="1">
      <c r="E170" s="118"/>
      <c r="F170" s="118"/>
    </row>
    <row r="171" ht="15.75" customHeight="1">
      <c r="E171" s="118"/>
      <c r="F171" s="118"/>
    </row>
    <row r="172" ht="15.75" customHeight="1">
      <c r="E172" s="118"/>
      <c r="F172" s="118"/>
    </row>
    <row r="173" ht="15.75" customHeight="1">
      <c r="E173" s="118"/>
      <c r="F173" s="118"/>
    </row>
    <row r="174" ht="15.75" customHeight="1">
      <c r="E174" s="118"/>
      <c r="F174" s="118"/>
    </row>
    <row r="175" ht="15.75" customHeight="1">
      <c r="E175" s="118"/>
      <c r="F175" s="118"/>
    </row>
    <row r="176" ht="15.75" customHeight="1">
      <c r="E176" s="118"/>
      <c r="F176" s="118"/>
    </row>
    <row r="177" ht="15.75" customHeight="1">
      <c r="E177" s="118"/>
      <c r="F177" s="118"/>
    </row>
    <row r="178" ht="15.75" customHeight="1">
      <c r="E178" s="118"/>
      <c r="F178" s="118"/>
    </row>
    <row r="179" ht="15.75" customHeight="1">
      <c r="E179" s="118"/>
      <c r="F179" s="118"/>
    </row>
    <row r="180" ht="15.75" customHeight="1">
      <c r="E180" s="118"/>
      <c r="F180" s="118"/>
    </row>
    <row r="181" ht="15.75" customHeight="1">
      <c r="E181" s="118"/>
      <c r="F181" s="118"/>
    </row>
    <row r="182" ht="15.75" customHeight="1">
      <c r="E182" s="118"/>
      <c r="F182" s="118"/>
    </row>
    <row r="183" ht="15.75" customHeight="1">
      <c r="E183" s="118"/>
      <c r="F183" s="118"/>
    </row>
    <row r="184" ht="15.75" customHeight="1">
      <c r="E184" s="118"/>
      <c r="F184" s="118"/>
    </row>
    <row r="185" ht="15.75" customHeight="1">
      <c r="E185" s="118"/>
      <c r="F185" s="118"/>
    </row>
    <row r="186" ht="15.75" customHeight="1">
      <c r="E186" s="118"/>
      <c r="F186" s="118"/>
    </row>
    <row r="187" ht="15.75" customHeight="1">
      <c r="E187" s="118"/>
      <c r="F187" s="118"/>
    </row>
    <row r="188" ht="15.75" customHeight="1">
      <c r="E188" s="118"/>
      <c r="F188" s="118"/>
    </row>
    <row r="189" ht="15.75" customHeight="1">
      <c r="E189" s="118"/>
      <c r="F189" s="118"/>
    </row>
    <row r="190" ht="15.75" customHeight="1">
      <c r="E190" s="118"/>
      <c r="F190" s="118"/>
    </row>
    <row r="191" ht="15.75" customHeight="1">
      <c r="E191" s="118"/>
      <c r="F191" s="118"/>
    </row>
    <row r="192" ht="15.75" customHeight="1">
      <c r="E192" s="118"/>
      <c r="F192" s="118"/>
    </row>
    <row r="193" ht="15.75" customHeight="1">
      <c r="E193" s="118"/>
      <c r="F193" s="118"/>
    </row>
    <row r="194" ht="15.75" customHeight="1">
      <c r="E194" s="118"/>
      <c r="F194" s="118"/>
    </row>
    <row r="195" ht="15.75" customHeight="1">
      <c r="E195" s="118"/>
      <c r="F195" s="118"/>
    </row>
    <row r="196" ht="15.75" customHeight="1">
      <c r="E196" s="118"/>
      <c r="F196" s="118"/>
    </row>
    <row r="197" ht="15.75" customHeight="1">
      <c r="E197" s="118"/>
      <c r="F197" s="118"/>
    </row>
    <row r="198" ht="15.75" customHeight="1">
      <c r="E198" s="118"/>
      <c r="F198" s="118"/>
    </row>
    <row r="199" ht="15.75" customHeight="1">
      <c r="E199" s="118"/>
      <c r="F199" s="118"/>
    </row>
    <row r="200" ht="15.75" customHeight="1">
      <c r="E200" s="118"/>
      <c r="F200" s="118"/>
    </row>
    <row r="201" ht="15.75" customHeight="1">
      <c r="E201" s="118"/>
      <c r="F201" s="118"/>
    </row>
    <row r="202" ht="15.75" customHeight="1">
      <c r="E202" s="118"/>
      <c r="F202" s="118"/>
    </row>
    <row r="203" ht="15.75" customHeight="1">
      <c r="E203" s="118"/>
      <c r="F203" s="118"/>
    </row>
    <row r="204" ht="15.75" customHeight="1">
      <c r="E204" s="118"/>
      <c r="F204" s="118"/>
    </row>
    <row r="205" ht="15.75" customHeight="1">
      <c r="E205" s="118"/>
      <c r="F205" s="118"/>
    </row>
    <row r="206" ht="15.75" customHeight="1">
      <c r="E206" s="118"/>
      <c r="F206" s="118"/>
    </row>
    <row r="207" ht="15.75" customHeight="1">
      <c r="E207" s="118"/>
      <c r="F207" s="118"/>
    </row>
    <row r="208" ht="15.75" customHeight="1">
      <c r="E208" s="118"/>
      <c r="F208" s="118"/>
    </row>
    <row r="209" ht="15.75" customHeight="1">
      <c r="E209" s="118"/>
      <c r="F209" s="118"/>
    </row>
    <row r="210" ht="15.75" customHeight="1">
      <c r="E210" s="118"/>
      <c r="F210" s="118"/>
    </row>
    <row r="211" ht="15.75" customHeight="1">
      <c r="E211" s="118"/>
      <c r="F211" s="118"/>
    </row>
    <row r="212" ht="15.75" customHeight="1">
      <c r="E212" s="118"/>
      <c r="F212" s="118"/>
    </row>
    <row r="213" ht="15.75" customHeight="1">
      <c r="E213" s="118"/>
      <c r="F213" s="118"/>
    </row>
    <row r="214" ht="15.75" customHeight="1">
      <c r="E214" s="118"/>
      <c r="F214" s="118"/>
    </row>
    <row r="215" ht="15.75" customHeight="1">
      <c r="E215" s="118"/>
      <c r="F215" s="118"/>
    </row>
    <row r="216" ht="15.75" customHeight="1">
      <c r="E216" s="118"/>
      <c r="F216" s="118"/>
    </row>
    <row r="217" ht="15.75" customHeight="1">
      <c r="E217" s="118"/>
      <c r="F217" s="118"/>
    </row>
    <row r="218" ht="15.75" customHeight="1">
      <c r="E218" s="118"/>
      <c r="F218" s="118"/>
    </row>
    <row r="219" ht="15.75" customHeight="1">
      <c r="E219" s="118"/>
      <c r="F219" s="118"/>
    </row>
    <row r="220" ht="15.75" customHeight="1">
      <c r="E220" s="118"/>
      <c r="F220" s="118"/>
    </row>
    <row r="221" ht="15.75" customHeight="1">
      <c r="E221" s="118"/>
      <c r="F221" s="118"/>
    </row>
    <row r="222" ht="15.75" customHeight="1">
      <c r="E222" s="118"/>
      <c r="F222" s="118"/>
    </row>
    <row r="223" ht="15.75" customHeight="1">
      <c r="E223" s="118"/>
      <c r="F223" s="118"/>
    </row>
    <row r="224" ht="15.75" customHeight="1">
      <c r="E224" s="118"/>
      <c r="F224" s="118"/>
    </row>
    <row r="225" ht="15.75" customHeight="1">
      <c r="E225" s="118"/>
      <c r="F225" s="118"/>
    </row>
    <row r="226" ht="15.75" customHeight="1">
      <c r="E226" s="118"/>
      <c r="F226" s="118"/>
    </row>
    <row r="227" ht="15.75" customHeight="1">
      <c r="E227" s="118"/>
      <c r="F227" s="118"/>
    </row>
    <row r="228" ht="15.75" customHeight="1">
      <c r="E228" s="118"/>
      <c r="F228" s="118"/>
    </row>
    <row r="229" ht="15.75" customHeight="1">
      <c r="E229" s="118"/>
      <c r="F229" s="118"/>
    </row>
    <row r="230" ht="15.75" customHeight="1">
      <c r="E230" s="118"/>
      <c r="F230" s="118"/>
    </row>
    <row r="231" ht="15.75" customHeight="1">
      <c r="E231" s="118"/>
      <c r="F231" s="118"/>
    </row>
    <row r="232" ht="15.75" customHeight="1">
      <c r="E232" s="118"/>
      <c r="F232" s="118"/>
    </row>
    <row r="233" ht="15.75" customHeight="1">
      <c r="E233" s="118"/>
      <c r="F233" s="118"/>
    </row>
    <row r="234" ht="15.75" customHeight="1">
      <c r="E234" s="118"/>
      <c r="F234" s="118"/>
    </row>
    <row r="235" ht="15.75" customHeight="1">
      <c r="E235" s="118"/>
      <c r="F235" s="118"/>
    </row>
    <row r="236" ht="15.75" customHeight="1">
      <c r="E236" s="118"/>
      <c r="F236" s="118"/>
    </row>
    <row r="237" ht="15.75" customHeight="1">
      <c r="E237" s="118"/>
      <c r="F237" s="118"/>
    </row>
    <row r="238" ht="15.75" customHeight="1">
      <c r="E238" s="118"/>
      <c r="F238" s="118"/>
    </row>
    <row r="239" ht="15.75" customHeight="1">
      <c r="E239" s="118"/>
      <c r="F239" s="118"/>
    </row>
    <row r="240" ht="15.75" customHeight="1">
      <c r="E240" s="118"/>
      <c r="F240" s="118"/>
    </row>
    <row r="241" ht="15.75" customHeight="1">
      <c r="E241" s="118"/>
      <c r="F241" s="118"/>
    </row>
    <row r="242" ht="15.75" customHeight="1">
      <c r="E242" s="118"/>
      <c r="F242" s="118"/>
    </row>
    <row r="243" ht="15.75" customHeight="1">
      <c r="E243" s="118"/>
      <c r="F243" s="118"/>
    </row>
    <row r="244" ht="15.75" customHeight="1">
      <c r="E244" s="118"/>
      <c r="F244" s="118"/>
    </row>
    <row r="245" ht="15.75" customHeight="1">
      <c r="E245" s="118"/>
      <c r="F245" s="118"/>
    </row>
    <row r="246" ht="15.75" customHeight="1">
      <c r="E246" s="118"/>
      <c r="F246" s="118"/>
    </row>
    <row r="247" ht="15.75" customHeight="1">
      <c r="E247" s="118"/>
      <c r="F247" s="118"/>
    </row>
    <row r="248" ht="15.75" customHeight="1">
      <c r="E248" s="118"/>
      <c r="F248" s="118"/>
    </row>
    <row r="249" ht="15.75" customHeight="1">
      <c r="E249" s="118"/>
      <c r="F249" s="118"/>
    </row>
    <row r="250" ht="15.75" customHeight="1">
      <c r="E250" s="118"/>
      <c r="F250" s="118"/>
    </row>
    <row r="251" ht="15.75" customHeight="1">
      <c r="E251" s="118"/>
      <c r="F251" s="118"/>
    </row>
    <row r="252" ht="15.75" customHeight="1">
      <c r="E252" s="118"/>
      <c r="F252" s="118"/>
    </row>
    <row r="253" ht="15.75" customHeight="1">
      <c r="E253" s="118"/>
      <c r="F253" s="118"/>
    </row>
    <row r="254" ht="15.75" customHeight="1">
      <c r="E254" s="118"/>
      <c r="F254" s="118"/>
    </row>
    <row r="255" ht="15.75" customHeight="1">
      <c r="E255" s="118"/>
      <c r="F255" s="118"/>
    </row>
    <row r="256" ht="15.75" customHeight="1">
      <c r="E256" s="118"/>
      <c r="F256" s="118"/>
    </row>
    <row r="257" ht="15.75" customHeight="1">
      <c r="E257" s="118"/>
      <c r="F257" s="118"/>
    </row>
    <row r="258" ht="15.75" customHeight="1">
      <c r="E258" s="118"/>
      <c r="F258" s="118"/>
    </row>
    <row r="259" ht="15.75" customHeight="1">
      <c r="E259" s="118"/>
      <c r="F259" s="118"/>
    </row>
    <row r="260" ht="15.75" customHeight="1">
      <c r="E260" s="118"/>
      <c r="F260" s="118"/>
    </row>
    <row r="261" ht="15.75" customHeight="1">
      <c r="E261" s="118"/>
      <c r="F261" s="118"/>
    </row>
    <row r="262" ht="15.75" customHeight="1">
      <c r="E262" s="118"/>
      <c r="F262" s="118"/>
    </row>
    <row r="263" ht="15.75" customHeight="1">
      <c r="E263" s="118"/>
      <c r="F263" s="118"/>
    </row>
    <row r="264" ht="15.75" customHeight="1">
      <c r="E264" s="118"/>
      <c r="F264" s="118"/>
    </row>
    <row r="265" ht="15.75" customHeight="1">
      <c r="E265" s="118"/>
      <c r="F265" s="118"/>
    </row>
    <row r="266" ht="15.75" customHeight="1">
      <c r="E266" s="118"/>
      <c r="F266" s="118"/>
    </row>
    <row r="267" ht="15.75" customHeight="1">
      <c r="E267" s="118"/>
      <c r="F267" s="118"/>
    </row>
    <row r="268" ht="15.75" customHeight="1">
      <c r="E268" s="118"/>
      <c r="F268" s="118"/>
    </row>
    <row r="269" ht="15.75" customHeight="1">
      <c r="E269" s="118"/>
      <c r="F269" s="118"/>
    </row>
    <row r="270" ht="15.75" customHeight="1">
      <c r="E270" s="118"/>
      <c r="F270" s="118"/>
    </row>
    <row r="271" ht="15.75" customHeight="1">
      <c r="E271" s="118"/>
      <c r="F271" s="118"/>
    </row>
    <row r="272" ht="15.75" customHeight="1">
      <c r="E272" s="118"/>
      <c r="F272" s="118"/>
    </row>
    <row r="273" ht="15.75" customHeight="1">
      <c r="E273" s="118"/>
      <c r="F273" s="118"/>
    </row>
    <row r="274" ht="15.75" customHeight="1">
      <c r="E274" s="118"/>
      <c r="F274" s="118"/>
    </row>
    <row r="275" ht="15.75" customHeight="1">
      <c r="E275" s="118"/>
      <c r="F275" s="118"/>
    </row>
    <row r="276" ht="15.75" customHeight="1">
      <c r="E276" s="118"/>
      <c r="F276" s="118"/>
    </row>
    <row r="277" ht="15.75" customHeight="1">
      <c r="E277" s="118"/>
      <c r="F277" s="118"/>
    </row>
    <row r="278" ht="15.75" customHeight="1">
      <c r="E278" s="118"/>
      <c r="F278" s="118"/>
    </row>
    <row r="279" ht="15.75" customHeight="1">
      <c r="E279" s="118"/>
      <c r="F279" s="118"/>
    </row>
    <row r="280" ht="15.75" customHeight="1">
      <c r="E280" s="118"/>
      <c r="F280" s="118"/>
    </row>
    <row r="281" ht="15.75" customHeight="1">
      <c r="E281" s="118"/>
      <c r="F281" s="118"/>
    </row>
    <row r="282" ht="15.75" customHeight="1">
      <c r="E282" s="118"/>
      <c r="F282" s="118"/>
    </row>
    <row r="283" ht="15.75" customHeight="1">
      <c r="E283" s="118"/>
      <c r="F283" s="118"/>
    </row>
    <row r="284" ht="15.75" customHeight="1">
      <c r="E284" s="118"/>
      <c r="F284" s="118"/>
    </row>
    <row r="285" ht="15.75" customHeight="1">
      <c r="E285" s="118"/>
      <c r="F285" s="118"/>
    </row>
    <row r="286" ht="15.75" customHeight="1">
      <c r="E286" s="118"/>
      <c r="F286" s="118"/>
    </row>
    <row r="287" ht="15.75" customHeight="1">
      <c r="E287" s="118"/>
      <c r="F287" s="118"/>
    </row>
    <row r="288" ht="15.75" customHeight="1">
      <c r="E288" s="118"/>
      <c r="F288" s="118"/>
    </row>
    <row r="289" ht="15.75" customHeight="1">
      <c r="E289" s="118"/>
      <c r="F289" s="118"/>
    </row>
    <row r="290" ht="15.75" customHeight="1">
      <c r="E290" s="118"/>
      <c r="F290" s="118"/>
    </row>
    <row r="291" ht="15.75" customHeight="1">
      <c r="E291" s="118"/>
      <c r="F291" s="118"/>
    </row>
    <row r="292" ht="15.75" customHeight="1">
      <c r="E292" s="118"/>
      <c r="F292" s="118"/>
    </row>
    <row r="293" ht="15.75" customHeight="1">
      <c r="E293" s="118"/>
      <c r="F293" s="118"/>
    </row>
    <row r="294" ht="15.75" customHeight="1">
      <c r="E294" s="118"/>
      <c r="F294" s="118"/>
    </row>
    <row r="295" ht="15.75" customHeight="1">
      <c r="E295" s="118"/>
      <c r="F295" s="118"/>
    </row>
    <row r="296" ht="15.75" customHeight="1">
      <c r="E296" s="118"/>
      <c r="F296" s="118"/>
    </row>
    <row r="297" ht="15.75" customHeight="1">
      <c r="E297" s="118"/>
      <c r="F297" s="118"/>
    </row>
    <row r="298" ht="15.75" customHeight="1">
      <c r="E298" s="118"/>
      <c r="F298" s="118"/>
    </row>
    <row r="299" ht="15.75" customHeight="1">
      <c r="E299" s="118"/>
      <c r="F299" s="118"/>
    </row>
    <row r="300" ht="15.75" customHeight="1">
      <c r="E300" s="118"/>
      <c r="F300" s="118"/>
    </row>
    <row r="301" ht="15.75" customHeight="1">
      <c r="E301" s="118"/>
      <c r="F301" s="118"/>
    </row>
    <row r="302" ht="15.75" customHeight="1">
      <c r="E302" s="118"/>
      <c r="F302" s="118"/>
    </row>
    <row r="303" ht="15.75" customHeight="1">
      <c r="E303" s="118"/>
      <c r="F303" s="118"/>
    </row>
    <row r="304" ht="15.75" customHeight="1">
      <c r="E304" s="118"/>
      <c r="F304" s="118"/>
    </row>
    <row r="305" ht="15.75" customHeight="1">
      <c r="E305" s="118"/>
      <c r="F305" s="118"/>
    </row>
    <row r="306" ht="15.75" customHeight="1">
      <c r="E306" s="118"/>
      <c r="F306" s="118"/>
    </row>
    <row r="307" ht="15.75" customHeight="1">
      <c r="E307" s="118"/>
      <c r="F307" s="118"/>
    </row>
    <row r="308" ht="15.75" customHeight="1">
      <c r="E308" s="118"/>
      <c r="F308" s="118"/>
    </row>
    <row r="309" ht="15.75" customHeight="1">
      <c r="E309" s="118"/>
      <c r="F309" s="118"/>
    </row>
    <row r="310" ht="15.75" customHeight="1">
      <c r="E310" s="118"/>
      <c r="F310" s="118"/>
    </row>
    <row r="311" ht="15.75" customHeight="1">
      <c r="E311" s="118"/>
      <c r="F311" s="118"/>
    </row>
    <row r="312" ht="15.75" customHeight="1">
      <c r="E312" s="118"/>
      <c r="F312" s="118"/>
    </row>
    <row r="313" ht="15.75" customHeight="1">
      <c r="E313" s="118"/>
      <c r="F313" s="118"/>
    </row>
    <row r="314" ht="15.75" customHeight="1">
      <c r="E314" s="118"/>
      <c r="F314" s="118"/>
    </row>
    <row r="315" ht="15.75" customHeight="1">
      <c r="E315" s="118"/>
      <c r="F315" s="118"/>
    </row>
    <row r="316" ht="15.75" customHeight="1">
      <c r="E316" s="118"/>
      <c r="F316" s="118"/>
    </row>
    <row r="317" ht="15.75" customHeight="1">
      <c r="E317" s="118"/>
      <c r="F317" s="118"/>
    </row>
    <row r="318" ht="15.75" customHeight="1">
      <c r="E318" s="118"/>
      <c r="F318" s="118"/>
    </row>
    <row r="319" ht="15.75" customHeight="1">
      <c r="E319" s="118"/>
      <c r="F319" s="118"/>
    </row>
    <row r="320" ht="15.75" customHeight="1">
      <c r="E320" s="118"/>
      <c r="F320" s="118"/>
    </row>
    <row r="321" ht="15.75" customHeight="1">
      <c r="E321" s="118"/>
      <c r="F321" s="118"/>
    </row>
    <row r="322" ht="15.75" customHeight="1">
      <c r="E322" s="118"/>
      <c r="F322" s="118"/>
    </row>
    <row r="323" ht="15.75" customHeight="1">
      <c r="E323" s="118"/>
      <c r="F323" s="118"/>
    </row>
    <row r="324" ht="15.75" customHeight="1">
      <c r="E324" s="118"/>
      <c r="F324" s="118"/>
    </row>
    <row r="325" ht="15.75" customHeight="1">
      <c r="E325" s="118"/>
      <c r="F325" s="118"/>
    </row>
    <row r="326" ht="15.75" customHeight="1">
      <c r="E326" s="118"/>
      <c r="F326" s="118"/>
    </row>
    <row r="327" ht="15.75" customHeight="1">
      <c r="E327" s="118"/>
      <c r="F327" s="118"/>
    </row>
    <row r="328" ht="15.75" customHeight="1">
      <c r="E328" s="118"/>
      <c r="F328" s="118"/>
    </row>
    <row r="329" ht="15.75" customHeight="1">
      <c r="E329" s="118"/>
      <c r="F329" s="118"/>
    </row>
    <row r="330" ht="15.75" customHeight="1">
      <c r="E330" s="118"/>
      <c r="F330" s="118"/>
    </row>
    <row r="331" ht="15.75" customHeight="1">
      <c r="E331" s="118"/>
      <c r="F331" s="118"/>
    </row>
    <row r="332" ht="15.75" customHeight="1">
      <c r="E332" s="118"/>
      <c r="F332" s="118"/>
    </row>
    <row r="333" ht="15.75" customHeight="1">
      <c r="E333" s="118"/>
      <c r="F333" s="118"/>
    </row>
    <row r="334" ht="15.75" customHeight="1">
      <c r="E334" s="118"/>
      <c r="F334" s="118"/>
    </row>
    <row r="335" ht="15.75" customHeight="1">
      <c r="E335" s="118"/>
      <c r="F335" s="118"/>
    </row>
    <row r="336" ht="15.75" customHeight="1">
      <c r="E336" s="118"/>
      <c r="F336" s="118"/>
    </row>
    <row r="337" ht="15.75" customHeight="1">
      <c r="E337" s="118"/>
      <c r="F337" s="118"/>
    </row>
    <row r="338" ht="15.75" customHeight="1">
      <c r="E338" s="118"/>
      <c r="F338" s="118"/>
    </row>
    <row r="339" ht="15.75" customHeight="1">
      <c r="E339" s="118"/>
      <c r="F339" s="118"/>
    </row>
    <row r="340" ht="15.75" customHeight="1">
      <c r="E340" s="118"/>
      <c r="F340" s="1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C17:C20"/>
    <mergeCell ref="C21:C24"/>
    <mergeCell ref="C29:C32"/>
    <mergeCell ref="D29:D32"/>
    <mergeCell ref="C33:C36"/>
    <mergeCell ref="D33:D36"/>
    <mergeCell ref="C37:C40"/>
    <mergeCell ref="D37:D40"/>
    <mergeCell ref="C41:C44"/>
    <mergeCell ref="D41:D44"/>
    <mergeCell ref="C45:C48"/>
    <mergeCell ref="D45:D48"/>
    <mergeCell ref="C49:C52"/>
    <mergeCell ref="D49:D52"/>
    <mergeCell ref="C61:C64"/>
    <mergeCell ref="D61:D64"/>
    <mergeCell ref="C65:C68"/>
    <mergeCell ref="D65:D68"/>
    <mergeCell ref="C69:C72"/>
    <mergeCell ref="D69:D72"/>
    <mergeCell ref="C73:C76"/>
    <mergeCell ref="D73:D76"/>
    <mergeCell ref="D77:D80"/>
    <mergeCell ref="D109:D112"/>
    <mergeCell ref="D113:D116"/>
    <mergeCell ref="D81:D84"/>
    <mergeCell ref="D85:D88"/>
    <mergeCell ref="D89:D92"/>
    <mergeCell ref="D93:D96"/>
    <mergeCell ref="D97:D100"/>
    <mergeCell ref="D101:D104"/>
    <mergeCell ref="D105:D108"/>
    <mergeCell ref="D21:D24"/>
    <mergeCell ref="C25:C28"/>
    <mergeCell ref="D25:D28"/>
    <mergeCell ref="C53:C56"/>
    <mergeCell ref="D53:D56"/>
    <mergeCell ref="C57:C60"/>
    <mergeCell ref="D57:D60"/>
    <mergeCell ref="A69:A88"/>
    <mergeCell ref="B69:B88"/>
    <mergeCell ref="A89:A100"/>
    <mergeCell ref="B89:B100"/>
    <mergeCell ref="A101:A124"/>
    <mergeCell ref="B101:B124"/>
    <mergeCell ref="A125:A140"/>
    <mergeCell ref="B125:B140"/>
    <mergeCell ref="A12:B12"/>
    <mergeCell ref="C12:D12"/>
    <mergeCell ref="A13:A68"/>
    <mergeCell ref="B13:B68"/>
    <mergeCell ref="C13:C16"/>
    <mergeCell ref="D13:D16"/>
    <mergeCell ref="D17:D20"/>
    <mergeCell ref="C77:C80"/>
    <mergeCell ref="C81:C84"/>
    <mergeCell ref="C85:C88"/>
    <mergeCell ref="C89:C92"/>
    <mergeCell ref="C93:C96"/>
    <mergeCell ref="C97:C100"/>
    <mergeCell ref="C101:C104"/>
    <mergeCell ref="C125:C128"/>
    <mergeCell ref="D125:D128"/>
    <mergeCell ref="C129:C132"/>
    <mergeCell ref="D129:D132"/>
    <mergeCell ref="C133:C136"/>
    <mergeCell ref="D133:D136"/>
    <mergeCell ref="C137:C140"/>
    <mergeCell ref="D137:D140"/>
    <mergeCell ref="C105:C108"/>
    <mergeCell ref="C109:C112"/>
    <mergeCell ref="C113:C116"/>
    <mergeCell ref="C117:C120"/>
    <mergeCell ref="D117:D120"/>
    <mergeCell ref="C121:C124"/>
    <mergeCell ref="D121:D12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4.38"/>
    <col customWidth="1" min="2" max="2" width="13.25"/>
    <col customWidth="1" min="3" max="3" width="4.13"/>
    <col customWidth="1" min="4" max="4" width="22.63"/>
    <col customWidth="1" min="5" max="5" width="9.75"/>
    <col customWidth="1" min="6" max="7" width="8.0"/>
    <col customWidth="1" min="8" max="8" width="6.63"/>
    <col customWidth="1" hidden="1" min="9" max="26" width="4.75"/>
    <col customWidth="1" hidden="1" min="27" max="27" width="8.63"/>
    <col customWidth="1" min="28" max="28" width="0.13"/>
    <col customWidth="1" min="29" max="30" width="9.75"/>
    <col customWidth="1" min="31" max="31" width="12.13"/>
    <col customWidth="1" min="32" max="32" width="10.38"/>
    <col customWidth="1" min="33" max="33" width="10.25"/>
    <col customWidth="1" hidden="1" min="34" max="34" width="9.75"/>
    <col customWidth="1" min="35" max="35" width="15.38"/>
    <col customWidth="1" min="36" max="36" width="49.88"/>
  </cols>
  <sheetData>
    <row r="1" ht="45.75" customHeight="1">
      <c r="A1" s="31" t="s">
        <v>15</v>
      </c>
      <c r="B1" s="33"/>
      <c r="C1" s="35"/>
      <c r="D1" s="37" t="s">
        <v>18</v>
      </c>
      <c r="E1" s="39" t="str">
        <f>'Input Nilai'!E12</f>
        <v>NO PERTANYAAN</v>
      </c>
      <c r="F1" s="40" t="str">
        <f>'Input Nilai'!F12</f>
        <v>RESPON
(YA=1, TIDAK=0)</v>
      </c>
      <c r="G1" s="41" t="s">
        <v>19</v>
      </c>
      <c r="H1" s="42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3" t="s">
        <v>28</v>
      </c>
      <c r="Q1" s="43" t="s">
        <v>29</v>
      </c>
      <c r="R1" s="43" t="s">
        <v>30</v>
      </c>
      <c r="S1" s="43" t="s">
        <v>31</v>
      </c>
      <c r="T1" s="43" t="s">
        <v>32</v>
      </c>
      <c r="U1" s="43" t="s">
        <v>33</v>
      </c>
      <c r="V1" s="43" t="s">
        <v>34</v>
      </c>
      <c r="W1" s="43" t="s">
        <v>35</v>
      </c>
      <c r="X1" s="43" t="s">
        <v>36</v>
      </c>
      <c r="Y1" s="43" t="s">
        <v>37</v>
      </c>
      <c r="Z1" s="43"/>
      <c r="AA1" s="51" t="s">
        <v>38</v>
      </c>
      <c r="AB1" s="51" t="s">
        <v>39</v>
      </c>
      <c r="AC1" s="41" t="s">
        <v>40</v>
      </c>
      <c r="AD1" s="41" t="s">
        <v>41</v>
      </c>
      <c r="AE1" s="41" t="s">
        <v>42</v>
      </c>
      <c r="AF1" s="41" t="s">
        <v>43</v>
      </c>
      <c r="AG1" s="41" t="s">
        <v>44</v>
      </c>
      <c r="AH1" s="41"/>
      <c r="AI1" s="41" t="s">
        <v>45</v>
      </c>
      <c r="AJ1" s="41" t="s">
        <v>46</v>
      </c>
    </row>
    <row r="2" ht="15.0" customHeight="1">
      <c r="A2" s="55">
        <v>1.0</v>
      </c>
      <c r="B2" s="58" t="str">
        <f>'Input Nilai'!B13</f>
        <v>LAYANAN DASAR</v>
      </c>
      <c r="C2" s="55">
        <f>'Input Nilai'!C13</f>
        <v>1</v>
      </c>
      <c r="D2" s="58" t="str">
        <f>'Input Nilai'!D13</f>
        <v>Penyelenggaraan Layanan Pendidikan</v>
      </c>
      <c r="E2" s="61">
        <f>'Input Nilai'!E13</f>
        <v>1</v>
      </c>
      <c r="F2" s="61">
        <v>1.0</v>
      </c>
      <c r="G2" s="61" t="str">
        <f>IF(F2=1,"2",IF(F2=0,"1"))</f>
        <v>2</v>
      </c>
      <c r="H2" s="68">
        <f>((G2+G3+G4+G5)*5/5)</f>
        <v>5</v>
      </c>
      <c r="I2" s="69">
        <v>4.0</v>
      </c>
      <c r="J2" s="69">
        <v>3.0</v>
      </c>
      <c r="K2" s="69">
        <v>4.0</v>
      </c>
      <c r="L2" s="69">
        <v>4.0</v>
      </c>
      <c r="M2" s="69">
        <v>4.0</v>
      </c>
      <c r="N2" s="69">
        <v>4.0</v>
      </c>
      <c r="O2" s="69">
        <v>4.0</v>
      </c>
      <c r="P2" s="69">
        <v>4.0</v>
      </c>
      <c r="Q2" s="69">
        <v>4.0</v>
      </c>
      <c r="R2" s="69">
        <v>4.0</v>
      </c>
      <c r="S2" s="69">
        <v>4.0</v>
      </c>
      <c r="T2" s="69">
        <v>4.0</v>
      </c>
      <c r="U2" s="71">
        <v>3.0</v>
      </c>
      <c r="V2" s="69">
        <v>4.0</v>
      </c>
      <c r="W2" s="69">
        <v>4.0</v>
      </c>
      <c r="X2" s="69">
        <v>4.0</v>
      </c>
      <c r="Y2" s="69">
        <v>4.0</v>
      </c>
      <c r="Z2" s="72"/>
      <c r="AA2" s="73">
        <f>SUM(I2:Y4)/17</f>
        <v>3.882352941</v>
      </c>
      <c r="AB2" s="73">
        <f>1/14</f>
        <v>0.07142857143</v>
      </c>
      <c r="AC2" s="74">
        <f>IF(H2&lt;1,"0",H2)</f>
        <v>5</v>
      </c>
      <c r="AD2" s="75">
        <f>IF(AC2="",0,AC2)</f>
        <v>5</v>
      </c>
      <c r="AE2" s="75">
        <f>AB2/5</f>
        <v>0.01428571429</v>
      </c>
      <c r="AF2" s="75">
        <f>AD2*AE2</f>
        <v>0.07142857143</v>
      </c>
      <c r="AG2" s="76">
        <f>SUM(AF2:AF57)</f>
        <v>0.8714285714</v>
      </c>
      <c r="AH2" s="77">
        <v>20.0</v>
      </c>
      <c r="AI2" s="78">
        <f>(AG2*AH2)+(AG58*AH58)+(AG78*AH78)+(AG90*AH90)+(AG114*AH114)</f>
        <v>57.16190476</v>
      </c>
      <c r="AJ2" s="58" t="str">
        <f>IF(AF2=0,"-",
IF(H2=1,'Rekomendasi Aksi'!E2,
IF(H2=2,'Rekomendasi Aksi'!E2,
IF(H2=3,'Rekomendasi Aksi'!E3,
IF(H2=4,'Rekomendasi Aksi'!E4,
IF(H2=5,'Rekomendasi Aksi'!E5))))))</f>
        <v>Melakukan kerjasama dengan dinas/lembaga/organisasi untuk indentifikasi kebutuhan, perencanaan dan pelaksanaan  pengembangan/peningkatan penyelenggaraan layanan pendidikan formal/non formal di Desa/Kelurahan.</v>
      </c>
    </row>
    <row r="3" ht="15.0" customHeight="1">
      <c r="A3" s="79"/>
      <c r="B3" s="79"/>
      <c r="C3" s="79"/>
      <c r="D3" s="79"/>
      <c r="E3" s="61">
        <f>'Input Nilai'!E14</f>
        <v>2</v>
      </c>
      <c r="F3" s="61">
        <f>'Input Nilai'!F14</f>
        <v>1</v>
      </c>
      <c r="G3" s="61" t="str">
        <f t="shared" ref="G3:G5" si="1">IF(F3&lt;1,"0",IF(F3=0,"0",IF(F3=1,"1")))</f>
        <v>1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2"/>
      <c r="AA3" s="79"/>
      <c r="AB3" s="79"/>
      <c r="AC3" s="79"/>
      <c r="AD3" s="79"/>
      <c r="AE3" s="79"/>
      <c r="AF3" s="79"/>
      <c r="AG3" s="79"/>
      <c r="AH3" s="79"/>
      <c r="AI3" s="79"/>
      <c r="AJ3" s="79"/>
    </row>
    <row r="4" ht="15.0" customHeight="1">
      <c r="A4" s="79"/>
      <c r="B4" s="79"/>
      <c r="C4" s="79"/>
      <c r="D4" s="79"/>
      <c r="E4" s="61">
        <f>'Input Nilai'!E15</f>
        <v>3</v>
      </c>
      <c r="F4" s="61">
        <f>'Input Nilai'!F15</f>
        <v>1</v>
      </c>
      <c r="G4" s="61" t="str">
        <f t="shared" si="1"/>
        <v>1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2"/>
      <c r="AA4" s="79"/>
      <c r="AB4" s="79"/>
      <c r="AC4" s="79"/>
      <c r="AD4" s="79"/>
      <c r="AE4" s="79"/>
      <c r="AF4" s="79"/>
      <c r="AG4" s="79"/>
      <c r="AH4" s="79"/>
      <c r="AI4" s="79"/>
      <c r="AJ4" s="79"/>
    </row>
    <row r="5" ht="15.0" customHeight="1">
      <c r="A5" s="79"/>
      <c r="B5" s="79"/>
      <c r="C5" s="80"/>
      <c r="D5" s="80"/>
      <c r="E5" s="61">
        <f>'Input Nilai'!E16</f>
        <v>4</v>
      </c>
      <c r="F5" s="61">
        <f>'Input Nilai'!F16</f>
        <v>1</v>
      </c>
      <c r="G5" s="61" t="str">
        <f t="shared" si="1"/>
        <v>1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72"/>
      <c r="AA5" s="80"/>
      <c r="AB5" s="80"/>
      <c r="AC5" s="80"/>
      <c r="AD5" s="80"/>
      <c r="AE5" s="80"/>
      <c r="AF5" s="80"/>
      <c r="AG5" s="79"/>
      <c r="AH5" s="79"/>
      <c r="AI5" s="79"/>
      <c r="AJ5" s="80"/>
    </row>
    <row r="6" ht="15.0" customHeight="1">
      <c r="A6" s="79"/>
      <c r="B6" s="79"/>
      <c r="C6" s="55">
        <f>'Input Nilai'!C17</f>
        <v>2</v>
      </c>
      <c r="D6" s="58" t="str">
        <f>'Input Nilai'!D17</f>
        <v>Penyelenggaraan Layanan Kesehatan</v>
      </c>
      <c r="E6" s="61">
        <f>'Input Nilai'!E17</f>
        <v>5</v>
      </c>
      <c r="F6" s="61">
        <f>'Input Nilai'!F17</f>
        <v>1</v>
      </c>
      <c r="G6" s="61" t="str">
        <f>IF(F6=1,"2",IF(F6=0,"1"))</f>
        <v>2</v>
      </c>
      <c r="H6" s="68">
        <f>((G6+G7+G8+G9)*5/5)</f>
        <v>5</v>
      </c>
      <c r="I6" s="69">
        <v>4.0</v>
      </c>
      <c r="J6" s="69">
        <v>4.0</v>
      </c>
      <c r="K6" s="69">
        <v>4.0</v>
      </c>
      <c r="L6" s="69">
        <v>3.0</v>
      </c>
      <c r="M6" s="69">
        <v>3.0</v>
      </c>
      <c r="N6" s="69">
        <v>4.0</v>
      </c>
      <c r="O6" s="69">
        <v>4.0</v>
      </c>
      <c r="P6" s="69">
        <v>4.0</v>
      </c>
      <c r="Q6" s="69">
        <v>4.0</v>
      </c>
      <c r="R6" s="69">
        <v>4.0</v>
      </c>
      <c r="S6" s="69">
        <v>4.0</v>
      </c>
      <c r="T6" s="69">
        <v>4.0</v>
      </c>
      <c r="U6" s="71">
        <v>4.0</v>
      </c>
      <c r="V6" s="69">
        <v>3.0</v>
      </c>
      <c r="W6" s="69">
        <v>3.0</v>
      </c>
      <c r="X6" s="69">
        <v>4.0</v>
      </c>
      <c r="Y6" s="69">
        <v>4.0</v>
      </c>
      <c r="Z6" s="72"/>
      <c r="AA6" s="73">
        <f>SUM(I6:Y8)/17</f>
        <v>3.764705882</v>
      </c>
      <c r="AB6" s="73">
        <f>1/14</f>
        <v>0.07142857143</v>
      </c>
      <c r="AC6" s="74">
        <f>IF(H6&lt;1,"0",H6)</f>
        <v>5</v>
      </c>
      <c r="AD6" s="75">
        <f>IF(AC6="",0,AC6)</f>
        <v>5</v>
      </c>
      <c r="AE6" s="75">
        <f>AB6/5</f>
        <v>0.01428571429</v>
      </c>
      <c r="AF6" s="75">
        <f>AD6*AE6</f>
        <v>0.07142857143</v>
      </c>
      <c r="AG6" s="79"/>
      <c r="AH6" s="79"/>
      <c r="AI6" s="79"/>
      <c r="AJ6" s="58" t="str">
        <f>IF(AF6=0,"-",
IF(H6=1,'Rekomendasi Aksi'!E6,
IF(H6=2,'Rekomendasi Aksi'!E6,
IF(H6=3,'Rekomendasi Aksi'!E7,
IF(H6=4,'Rekomendasi Aksi'!E8,
IF(H6=5,'Rekomendasi Aksi'!E9))))))</f>
        <v>Melakukan kerjasama dengan dinas/lembaga/organisasi untuk indentifikasi kebutuhan, perencanaan dan pelaksanaan  pengembangan/peningkatan penyelenggaraan layanan kesehatan formal/non formal di Desa/Kelurahan.</v>
      </c>
    </row>
    <row r="7" ht="15.0" customHeight="1">
      <c r="A7" s="79"/>
      <c r="B7" s="79"/>
      <c r="C7" s="79"/>
      <c r="D7" s="79"/>
      <c r="E7" s="61">
        <f>'Input Nilai'!E18</f>
        <v>6</v>
      </c>
      <c r="F7" s="61">
        <f>'Input Nilai'!F18</f>
        <v>1</v>
      </c>
      <c r="G7" s="61" t="str">
        <f t="shared" ref="G7:G9" si="2">IF(F7&lt;1,"0",IF(F7=0,"0",IF(F7=1,"1")))</f>
        <v>1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2"/>
      <c r="AA7" s="79"/>
      <c r="AB7" s="79"/>
      <c r="AC7" s="79"/>
      <c r="AD7" s="79"/>
      <c r="AE7" s="79"/>
      <c r="AF7" s="79"/>
      <c r="AG7" s="79"/>
      <c r="AH7" s="79"/>
      <c r="AI7" s="79"/>
      <c r="AJ7" s="79"/>
    </row>
    <row r="8" ht="15.0" customHeight="1">
      <c r="A8" s="79"/>
      <c r="B8" s="79"/>
      <c r="C8" s="79"/>
      <c r="D8" s="79"/>
      <c r="E8" s="61">
        <f>'Input Nilai'!E19</f>
        <v>7</v>
      </c>
      <c r="F8" s="61">
        <f>'Input Nilai'!F19</f>
        <v>1</v>
      </c>
      <c r="G8" s="61" t="str">
        <f t="shared" si="2"/>
        <v>1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2"/>
      <c r="AA8" s="79"/>
      <c r="AB8" s="79"/>
      <c r="AC8" s="79"/>
      <c r="AD8" s="79"/>
      <c r="AE8" s="79"/>
      <c r="AF8" s="79"/>
      <c r="AG8" s="79"/>
      <c r="AH8" s="79"/>
      <c r="AI8" s="79"/>
      <c r="AJ8" s="79"/>
    </row>
    <row r="9" ht="15.0" customHeight="1">
      <c r="A9" s="79"/>
      <c r="B9" s="79"/>
      <c r="C9" s="80"/>
      <c r="D9" s="80"/>
      <c r="E9" s="61">
        <f>'Input Nilai'!E20</f>
        <v>8</v>
      </c>
      <c r="F9" s="61">
        <f>'Input Nilai'!F20</f>
        <v>1</v>
      </c>
      <c r="G9" s="61" t="str">
        <f t="shared" si="2"/>
        <v>1</v>
      </c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72"/>
      <c r="AA9" s="80"/>
      <c r="AB9" s="80"/>
      <c r="AC9" s="80"/>
      <c r="AD9" s="80"/>
      <c r="AE9" s="80"/>
      <c r="AF9" s="80"/>
      <c r="AG9" s="79"/>
      <c r="AH9" s="79"/>
      <c r="AI9" s="79"/>
      <c r="AJ9" s="80"/>
    </row>
    <row r="10" ht="15.0" customHeight="1">
      <c r="A10" s="79"/>
      <c r="B10" s="79"/>
      <c r="C10" s="55">
        <f>'Input Nilai'!C21</f>
        <v>3</v>
      </c>
      <c r="D10" s="58" t="str">
        <f>'Input Nilai'!D21</f>
        <v>Sarana dan Prasarana Transportasi</v>
      </c>
      <c r="E10" s="61">
        <f>'Input Nilai'!E21</f>
        <v>9</v>
      </c>
      <c r="F10" s="61">
        <f>'Input Nilai'!F21</f>
        <v>1</v>
      </c>
      <c r="G10" s="61" t="str">
        <f>IF(F10=1,"2",IF(F10=0,"1"))</f>
        <v>2</v>
      </c>
      <c r="H10" s="68">
        <f>((G10+G11+G12+G13)*5/5)</f>
        <v>3</v>
      </c>
      <c r="I10" s="69">
        <v>3.0</v>
      </c>
      <c r="J10" s="69">
        <v>3.0</v>
      </c>
      <c r="K10" s="69">
        <v>3.0</v>
      </c>
      <c r="L10" s="69">
        <v>1.0</v>
      </c>
      <c r="M10" s="69">
        <v>3.0</v>
      </c>
      <c r="N10" s="69">
        <v>3.0</v>
      </c>
      <c r="O10" s="69">
        <v>3.0</v>
      </c>
      <c r="P10" s="69">
        <v>3.0</v>
      </c>
      <c r="Q10" s="69">
        <v>2.0</v>
      </c>
      <c r="R10" s="69">
        <v>2.0</v>
      </c>
      <c r="S10" s="69">
        <v>3.0</v>
      </c>
      <c r="T10" s="69">
        <v>3.0</v>
      </c>
      <c r="U10" s="71">
        <v>3.0</v>
      </c>
      <c r="V10" s="69">
        <v>1.0</v>
      </c>
      <c r="W10" s="69">
        <v>2.0</v>
      </c>
      <c r="X10" s="69">
        <v>3.0</v>
      </c>
      <c r="Y10" s="69">
        <v>3.0</v>
      </c>
      <c r="Z10" s="72"/>
      <c r="AA10" s="73">
        <f>SUM(I10:Y12)/17</f>
        <v>2.588235294</v>
      </c>
      <c r="AB10" s="73">
        <f>1/14</f>
        <v>0.07142857143</v>
      </c>
      <c r="AC10" s="74">
        <f>IF(H10&lt;1,"0",H10)</f>
        <v>3</v>
      </c>
      <c r="AD10" s="75">
        <f>IF(AC10="",0,AC10)</f>
        <v>3</v>
      </c>
      <c r="AE10" s="75">
        <f>AB10/5</f>
        <v>0.01428571429</v>
      </c>
      <c r="AF10" s="75">
        <f>AD10*AE10</f>
        <v>0.04285714286</v>
      </c>
      <c r="AG10" s="79"/>
      <c r="AH10" s="79"/>
      <c r="AI10" s="79"/>
      <c r="AJ10" s="58" t="str">
        <f>IF(AF10=0,"-",
IF(H10=1,'Rekomendasi Aksi'!E10,
IF(H10=2,'Rekomendasi Aksi'!E10,
IF(H10=3,'Rekomendasi Aksi'!E11,
IF(H10=4,'Rekomendasi Aksi'!E12,
IF(H10=5,'Rekomendasi Aksi'!E13))))))</f>
        <v>Melakukan evaluasi, perencanaan dan pelaksanaan layanan sarana/prasarana transportasi</v>
      </c>
    </row>
    <row r="11" ht="15.0" customHeight="1">
      <c r="A11" s="79"/>
      <c r="B11" s="79"/>
      <c r="C11" s="79"/>
      <c r="D11" s="79"/>
      <c r="E11" s="61">
        <f>'Input Nilai'!E22</f>
        <v>10</v>
      </c>
      <c r="F11" s="61">
        <f>'Input Nilai'!F22</f>
        <v>1</v>
      </c>
      <c r="G11" s="61" t="str">
        <f t="shared" ref="G11:G13" si="3">IF(F11&lt;1,"0",IF(F11=0,"0",IF(F11=1,"1")))</f>
        <v>1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2"/>
      <c r="AA11" s="79"/>
      <c r="AB11" s="79"/>
      <c r="AC11" s="79"/>
      <c r="AD11" s="79"/>
      <c r="AE11" s="79"/>
      <c r="AF11" s="79"/>
      <c r="AG11" s="79"/>
      <c r="AH11" s="79"/>
      <c r="AI11" s="79"/>
      <c r="AJ11" s="79"/>
    </row>
    <row r="12" ht="15.0" customHeight="1">
      <c r="A12" s="79"/>
      <c r="B12" s="79"/>
      <c r="C12" s="79"/>
      <c r="D12" s="79"/>
      <c r="E12" s="61">
        <f>'Input Nilai'!E23</f>
        <v>11</v>
      </c>
      <c r="F12" s="61">
        <f>'Input Nilai'!F23</f>
        <v>0</v>
      </c>
      <c r="G12" s="61" t="str">
        <f t="shared" si="3"/>
        <v>0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2"/>
      <c r="AA12" s="79"/>
      <c r="AB12" s="79"/>
      <c r="AC12" s="79"/>
      <c r="AD12" s="79"/>
      <c r="AE12" s="79"/>
      <c r="AF12" s="79"/>
      <c r="AG12" s="79"/>
      <c r="AH12" s="79"/>
      <c r="AI12" s="79"/>
      <c r="AJ12" s="79"/>
    </row>
    <row r="13" ht="15.0" customHeight="1">
      <c r="A13" s="79"/>
      <c r="B13" s="79"/>
      <c r="C13" s="80"/>
      <c r="D13" s="80"/>
      <c r="E13" s="61">
        <f>'Input Nilai'!E24</f>
        <v>12</v>
      </c>
      <c r="F13" s="61">
        <f>'Input Nilai'!F24</f>
        <v>0</v>
      </c>
      <c r="G13" s="61" t="str">
        <f t="shared" si="3"/>
        <v>0</v>
      </c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72"/>
      <c r="AA13" s="80"/>
      <c r="AB13" s="80"/>
      <c r="AC13" s="80"/>
      <c r="AD13" s="80"/>
      <c r="AE13" s="80"/>
      <c r="AF13" s="80"/>
      <c r="AG13" s="79"/>
      <c r="AH13" s="79"/>
      <c r="AI13" s="79"/>
      <c r="AJ13" s="80"/>
    </row>
    <row r="14" ht="15.0" customHeight="1">
      <c r="A14" s="79"/>
      <c r="B14" s="79"/>
      <c r="C14" s="55">
        <f>'Input Nilai'!C25</f>
        <v>4</v>
      </c>
      <c r="D14" s="58" t="str">
        <f>'Input Nilai'!D25</f>
        <v>Penyediaan Air Bersih</v>
      </c>
      <c r="E14" s="61">
        <f>'Input Nilai'!E25</f>
        <v>13</v>
      </c>
      <c r="F14" s="61">
        <f>'Input Nilai'!F25</f>
        <v>1</v>
      </c>
      <c r="G14" s="61" t="str">
        <f>IF(F14=1,"2",IF(F14=0,"1"))</f>
        <v>2</v>
      </c>
      <c r="H14" s="68">
        <f>((G14+G15+G16+G17)*5/5)</f>
        <v>5</v>
      </c>
      <c r="I14" s="69">
        <v>3.0</v>
      </c>
      <c r="J14" s="69">
        <v>4.0</v>
      </c>
      <c r="K14" s="69">
        <v>4.0</v>
      </c>
      <c r="L14" s="69">
        <v>4.0</v>
      </c>
      <c r="M14" s="69">
        <v>2.0</v>
      </c>
      <c r="N14" s="69">
        <v>3.0</v>
      </c>
      <c r="O14" s="69">
        <v>3.0</v>
      </c>
      <c r="P14" s="69">
        <v>4.0</v>
      </c>
      <c r="Q14" s="69">
        <v>4.0</v>
      </c>
      <c r="R14" s="69">
        <v>4.0</v>
      </c>
      <c r="S14" s="69">
        <v>4.0</v>
      </c>
      <c r="T14" s="69">
        <v>4.0</v>
      </c>
      <c r="U14" s="71">
        <v>4.0</v>
      </c>
      <c r="V14" s="69">
        <v>3.0</v>
      </c>
      <c r="W14" s="69">
        <v>4.0</v>
      </c>
      <c r="X14" s="69">
        <v>4.0</v>
      </c>
      <c r="Y14" s="69">
        <v>4.0</v>
      </c>
      <c r="Z14" s="72"/>
      <c r="AA14" s="73">
        <f>SUM(I14:Y16)/17</f>
        <v>3.647058824</v>
      </c>
      <c r="AB14" s="73">
        <f>1/14</f>
        <v>0.07142857143</v>
      </c>
      <c r="AC14" s="74">
        <f>IF(H14&lt;1,"0",H14)</f>
        <v>5</v>
      </c>
      <c r="AD14" s="75">
        <f>IF(AC14="",0,AC14)</f>
        <v>5</v>
      </c>
      <c r="AE14" s="75">
        <f>AB14/5</f>
        <v>0.01428571429</v>
      </c>
      <c r="AF14" s="75">
        <f>AD14*AE14</f>
        <v>0.07142857143</v>
      </c>
      <c r="AG14" s="79"/>
      <c r="AH14" s="79"/>
      <c r="AI14" s="79"/>
      <c r="AJ14" s="58" t="str">
        <f>IF(AF14=0,"-",
IF(H14=1,'Rekomendasi Aksi'!E14,
IF(H14=2,'Rekomendasi Aksi'!E14,
IF(H14=3,'Rekomendasi Aksi'!E15,
IF(H14=4,'Rekomendasi Aksi'!E16,
IF(H14=5,'Rekomendasi Aksi'!E17))))))</f>
        <v>Mengusulkan kerjasama dengan dinas/lembaga/organisasi untuk identifikasi kebutuhan, perencanaan dan pelaksanaan penyelenggaraan program layanan air bersih</v>
      </c>
    </row>
    <row r="15" ht="15.0" customHeight="1">
      <c r="A15" s="79"/>
      <c r="B15" s="79"/>
      <c r="C15" s="79"/>
      <c r="D15" s="79"/>
      <c r="E15" s="61">
        <f>'Input Nilai'!E26</f>
        <v>14</v>
      </c>
      <c r="F15" s="61">
        <f>'Input Nilai'!F26</f>
        <v>1</v>
      </c>
      <c r="G15" s="61" t="str">
        <f t="shared" ref="G15:G17" si="4">IF(F15&lt;1,"0",IF(F15=0,"0",IF(F15=1,"1")))</f>
        <v>1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2"/>
      <c r="AA15" s="79"/>
      <c r="AB15" s="79"/>
      <c r="AC15" s="79"/>
      <c r="AD15" s="79"/>
      <c r="AE15" s="79"/>
      <c r="AF15" s="79"/>
      <c r="AG15" s="79"/>
      <c r="AH15" s="79"/>
      <c r="AI15" s="79"/>
      <c r="AJ15" s="79"/>
    </row>
    <row r="16" ht="15.0" customHeight="1">
      <c r="A16" s="79"/>
      <c r="B16" s="79"/>
      <c r="C16" s="79"/>
      <c r="D16" s="79"/>
      <c r="E16" s="61">
        <f>'Input Nilai'!E27</f>
        <v>15</v>
      </c>
      <c r="F16" s="61">
        <f>'Input Nilai'!F27</f>
        <v>1</v>
      </c>
      <c r="G16" s="61" t="str">
        <f t="shared" si="4"/>
        <v>1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2"/>
      <c r="AA16" s="79"/>
      <c r="AB16" s="79"/>
      <c r="AC16" s="79"/>
      <c r="AD16" s="79"/>
      <c r="AE16" s="79"/>
      <c r="AF16" s="79"/>
      <c r="AG16" s="79"/>
      <c r="AH16" s="79"/>
      <c r="AI16" s="79"/>
      <c r="AJ16" s="79"/>
    </row>
    <row r="17" ht="15.0" customHeight="1">
      <c r="A17" s="79"/>
      <c r="B17" s="79"/>
      <c r="C17" s="80"/>
      <c r="D17" s="80"/>
      <c r="E17" s="61">
        <f>'Input Nilai'!E28</f>
        <v>16</v>
      </c>
      <c r="F17" s="61">
        <f>'Input Nilai'!F28</f>
        <v>1</v>
      </c>
      <c r="G17" s="61" t="str">
        <f t="shared" si="4"/>
        <v>1</v>
      </c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72"/>
      <c r="AA17" s="80"/>
      <c r="AB17" s="80"/>
      <c r="AC17" s="80"/>
      <c r="AD17" s="80"/>
      <c r="AE17" s="80"/>
      <c r="AF17" s="80"/>
      <c r="AG17" s="79"/>
      <c r="AH17" s="79"/>
      <c r="AI17" s="79"/>
      <c r="AJ17" s="80"/>
    </row>
    <row r="18" ht="15.0" customHeight="1">
      <c r="A18" s="79"/>
      <c r="B18" s="79"/>
      <c r="C18" s="55">
        <f>'Input Nilai'!C29</f>
        <v>5</v>
      </c>
      <c r="D18" s="58" t="str">
        <f>'Input Nilai'!D29</f>
        <v>Program dan Kegiatan Pangan &amp; Gizi</v>
      </c>
      <c r="E18" s="61">
        <f>'Input Nilai'!E29</f>
        <v>17</v>
      </c>
      <c r="F18" s="61">
        <f>'Input Nilai'!F29</f>
        <v>1</v>
      </c>
      <c r="G18" s="61" t="str">
        <f>IF(F18=1,"2",IF(F18=0,"1"))</f>
        <v>2</v>
      </c>
      <c r="H18" s="68">
        <f>((G18+G19+G20+G21)*5/5)</f>
        <v>5</v>
      </c>
      <c r="I18" s="69">
        <v>2.0</v>
      </c>
      <c r="J18" s="69">
        <v>3.0</v>
      </c>
      <c r="K18" s="69">
        <v>2.0</v>
      </c>
      <c r="L18" s="69">
        <v>3.0</v>
      </c>
      <c r="M18" s="69">
        <v>2.0</v>
      </c>
      <c r="N18" s="69">
        <v>3.0</v>
      </c>
      <c r="O18" s="69">
        <v>3.0</v>
      </c>
      <c r="P18" s="69">
        <v>3.0</v>
      </c>
      <c r="Q18" s="69">
        <v>3.0</v>
      </c>
      <c r="R18" s="69">
        <v>3.0</v>
      </c>
      <c r="S18" s="69">
        <v>4.0</v>
      </c>
      <c r="T18" s="69">
        <v>4.0</v>
      </c>
      <c r="U18" s="71">
        <v>2.0</v>
      </c>
      <c r="V18" s="69">
        <v>2.0</v>
      </c>
      <c r="W18" s="69">
        <v>3.0</v>
      </c>
      <c r="X18" s="69">
        <v>3.0</v>
      </c>
      <c r="Y18" s="69">
        <v>3.0</v>
      </c>
      <c r="Z18" s="72"/>
      <c r="AA18" s="73">
        <f>SUM(I18:Y20)/17</f>
        <v>2.823529412</v>
      </c>
      <c r="AB18" s="73">
        <f>1/14</f>
        <v>0.07142857143</v>
      </c>
      <c r="AC18" s="74">
        <f>IF(H18&lt;1,"0",H18)</f>
        <v>5</v>
      </c>
      <c r="AD18" s="75">
        <f>IF(AC18="",0,AC18)</f>
        <v>5</v>
      </c>
      <c r="AE18" s="75">
        <f>AB18/5</f>
        <v>0.01428571429</v>
      </c>
      <c r="AF18" s="75">
        <f>AD18*AE18</f>
        <v>0.07142857143</v>
      </c>
      <c r="AG18" s="79"/>
      <c r="AH18" s="79"/>
      <c r="AI18" s="79"/>
      <c r="AJ18" s="58" t="str">
        <f>IF(AF18=0,"-",
IF(H18=1,'Rekomendasi Aksi'!E18,
IF(H18=2,'Rekomendasi Aksi'!E18,
IF(H18=3,'Rekomendasi Aksi'!E19,
IF(H18=4,'Rekomendasi Aksi'!E20,
IF(H18=5,'Rekomendasi Aksi'!E21))))))</f>
        <v>Melakukan kerjasama dengan berbagai pihak baik OPD terkait, akademisi, praktisi pangan dan gizi serta lembaga lainnya..</v>
      </c>
    </row>
    <row r="19" ht="15.0" customHeight="1">
      <c r="A19" s="79"/>
      <c r="B19" s="79"/>
      <c r="C19" s="79"/>
      <c r="D19" s="79"/>
      <c r="E19" s="61">
        <f>'Input Nilai'!E30</f>
        <v>18</v>
      </c>
      <c r="F19" s="61">
        <f>'Input Nilai'!F30</f>
        <v>1</v>
      </c>
      <c r="G19" s="61" t="str">
        <f t="shared" ref="G19:G21" si="5">IF(F19&lt;1,"0",IF(F19=0,"0",IF(F19=1,"1")))</f>
        <v>1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2"/>
      <c r="AA19" s="79"/>
      <c r="AB19" s="79"/>
      <c r="AC19" s="79"/>
      <c r="AD19" s="79"/>
      <c r="AE19" s="79"/>
      <c r="AF19" s="79"/>
      <c r="AG19" s="79"/>
      <c r="AH19" s="79"/>
      <c r="AI19" s="79"/>
      <c r="AJ19" s="79"/>
    </row>
    <row r="20" ht="15.0" customHeight="1">
      <c r="A20" s="79"/>
      <c r="B20" s="79"/>
      <c r="C20" s="79"/>
      <c r="D20" s="79"/>
      <c r="E20" s="61">
        <f>'Input Nilai'!E31</f>
        <v>19</v>
      </c>
      <c r="F20" s="61">
        <f>'Input Nilai'!F31</f>
        <v>1</v>
      </c>
      <c r="G20" s="61" t="str">
        <f t="shared" si="5"/>
        <v>1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2"/>
      <c r="AA20" s="79"/>
      <c r="AB20" s="79"/>
      <c r="AC20" s="79"/>
      <c r="AD20" s="79"/>
      <c r="AE20" s="79"/>
      <c r="AF20" s="79"/>
      <c r="AG20" s="79"/>
      <c r="AH20" s="79"/>
      <c r="AI20" s="79"/>
      <c r="AJ20" s="79"/>
    </row>
    <row r="21" ht="15.0" customHeight="1">
      <c r="A21" s="79"/>
      <c r="B21" s="79"/>
      <c r="C21" s="80"/>
      <c r="D21" s="80"/>
      <c r="E21" s="61">
        <f>'Input Nilai'!E32</f>
        <v>20</v>
      </c>
      <c r="F21" s="61">
        <f>'Input Nilai'!F32</f>
        <v>1</v>
      </c>
      <c r="G21" s="61" t="str">
        <f t="shared" si="5"/>
        <v>1</v>
      </c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72"/>
      <c r="AA21" s="80"/>
      <c r="AB21" s="80"/>
      <c r="AC21" s="80"/>
      <c r="AD21" s="80"/>
      <c r="AE21" s="80"/>
      <c r="AF21" s="80"/>
      <c r="AG21" s="79"/>
      <c r="AH21" s="79"/>
      <c r="AI21" s="79"/>
      <c r="AJ21" s="80"/>
    </row>
    <row r="22" ht="15.0" customHeight="1">
      <c r="A22" s="79"/>
      <c r="B22" s="79"/>
      <c r="C22" s="55">
        <f>'Input Nilai'!C33</f>
        <v>6</v>
      </c>
      <c r="D22" s="58" t="str">
        <f>'Input Nilai'!D33</f>
        <v>Pemberdayaan UMKM dan Peningkatan Ekonomi Melalui BUMDES </v>
      </c>
      <c r="E22" s="61">
        <f>'Input Nilai'!E33</f>
        <v>21</v>
      </c>
      <c r="F22" s="61">
        <f>'Input Nilai'!F33</f>
        <v>1</v>
      </c>
      <c r="G22" s="61" t="str">
        <f>IF(F22=1,"2",IF(F22=0,"1"))</f>
        <v>2</v>
      </c>
      <c r="H22" s="68">
        <f>((G22+G23+G24+G25)*5/5)</f>
        <v>5</v>
      </c>
      <c r="I22" s="69">
        <v>2.0</v>
      </c>
      <c r="J22" s="69">
        <v>3.0</v>
      </c>
      <c r="K22" s="69">
        <v>2.0</v>
      </c>
      <c r="L22" s="69">
        <v>2.0</v>
      </c>
      <c r="M22" s="69">
        <v>3.0</v>
      </c>
      <c r="N22" s="69">
        <v>3.0</v>
      </c>
      <c r="O22" s="69">
        <v>2.0</v>
      </c>
      <c r="P22" s="69">
        <v>3.0</v>
      </c>
      <c r="Q22" s="69">
        <v>2.0</v>
      </c>
      <c r="R22" s="69">
        <v>3.0</v>
      </c>
      <c r="S22" s="69">
        <v>3.0</v>
      </c>
      <c r="T22" s="69">
        <v>3.0</v>
      </c>
      <c r="U22" s="71">
        <v>2.0</v>
      </c>
      <c r="V22" s="69">
        <v>3.0</v>
      </c>
      <c r="W22" s="69">
        <v>3.0</v>
      </c>
      <c r="X22" s="69">
        <v>3.0</v>
      </c>
      <c r="Y22" s="69">
        <v>3.0</v>
      </c>
      <c r="Z22" s="72"/>
      <c r="AA22" s="73">
        <f>SUM(I22:Y24)/17</f>
        <v>2.647058824</v>
      </c>
      <c r="AB22" s="73">
        <f>1/14</f>
        <v>0.07142857143</v>
      </c>
      <c r="AC22" s="74">
        <f>IF(H22&lt;1,"0",H22)</f>
        <v>5</v>
      </c>
      <c r="AD22" s="75">
        <f>IF(AC22="",0,AC22)</f>
        <v>5</v>
      </c>
      <c r="AE22" s="75">
        <f>AB22/5</f>
        <v>0.01428571429</v>
      </c>
      <c r="AF22" s="75">
        <f>AD22*AE22</f>
        <v>0.07142857143</v>
      </c>
      <c r="AG22" s="79"/>
      <c r="AH22" s="79"/>
      <c r="AI22" s="79"/>
      <c r="AJ22" s="58" t="str">
        <f>IF(AF22=0,"-",
IF(H22=1,'Rekomendasi Aksi'!E22,
IF(H22=2,'Rekomendasi Aksi'!E22,
IF(H22=3,'Rekomendasi Aksi'!E23,
IF(H22=4,'Rekomendasi Aksi'!E24,
IF(H22=5,'Rekomendasi Aksi'!E25))))))</f>
        <v>Melakukan kerjasama dengan berbagai pihak baik OPD terkait, Akademisi, dunia usaha maupun  Asosiasi layanan pengembangan ekonomi dan bisnis lainnya.</v>
      </c>
    </row>
    <row r="23" ht="15.0" customHeight="1">
      <c r="A23" s="79"/>
      <c r="B23" s="79"/>
      <c r="C23" s="79"/>
      <c r="D23" s="79"/>
      <c r="E23" s="61">
        <f>'Input Nilai'!E34</f>
        <v>22</v>
      </c>
      <c r="F23" s="61">
        <f>'Input Nilai'!F34</f>
        <v>1</v>
      </c>
      <c r="G23" s="61" t="str">
        <f t="shared" ref="G23:G25" si="6">IF(F23&lt;1,"0",IF(F23=0,"0",IF(F23=1,"1")))</f>
        <v>1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2"/>
      <c r="AA23" s="79"/>
      <c r="AB23" s="79"/>
      <c r="AC23" s="79"/>
      <c r="AD23" s="79"/>
      <c r="AE23" s="79"/>
      <c r="AF23" s="79"/>
      <c r="AG23" s="79"/>
      <c r="AH23" s="79"/>
      <c r="AI23" s="79"/>
      <c r="AJ23" s="79"/>
    </row>
    <row r="24" ht="15.0" customHeight="1">
      <c r="A24" s="79"/>
      <c r="B24" s="79"/>
      <c r="C24" s="79"/>
      <c r="D24" s="79"/>
      <c r="E24" s="61">
        <f>'Input Nilai'!E35</f>
        <v>23</v>
      </c>
      <c r="F24" s="61">
        <f>'Input Nilai'!F35</f>
        <v>1</v>
      </c>
      <c r="G24" s="61" t="str">
        <f t="shared" si="6"/>
        <v>1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2"/>
      <c r="AA24" s="79"/>
      <c r="AB24" s="79"/>
      <c r="AC24" s="79"/>
      <c r="AD24" s="79"/>
      <c r="AE24" s="79"/>
      <c r="AF24" s="79"/>
      <c r="AG24" s="79"/>
      <c r="AH24" s="79"/>
      <c r="AI24" s="79"/>
      <c r="AJ24" s="79"/>
    </row>
    <row r="25" ht="15.0" customHeight="1">
      <c r="A25" s="79"/>
      <c r="B25" s="79"/>
      <c r="C25" s="80"/>
      <c r="D25" s="80"/>
      <c r="E25" s="61">
        <f>'Input Nilai'!E36</f>
        <v>24</v>
      </c>
      <c r="F25" s="61">
        <f>'Input Nilai'!F36</f>
        <v>1</v>
      </c>
      <c r="G25" s="61" t="str">
        <f t="shared" si="6"/>
        <v>1</v>
      </c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72"/>
      <c r="AA25" s="80"/>
      <c r="AB25" s="80"/>
      <c r="AC25" s="80"/>
      <c r="AD25" s="80"/>
      <c r="AE25" s="80"/>
      <c r="AF25" s="80"/>
      <c r="AG25" s="79"/>
      <c r="AH25" s="79"/>
      <c r="AI25" s="79"/>
      <c r="AJ25" s="80"/>
    </row>
    <row r="26" ht="15.0" customHeight="1">
      <c r="A26" s="79"/>
      <c r="B26" s="79"/>
      <c r="C26" s="55">
        <f>'Input Nilai'!C37</f>
        <v>7</v>
      </c>
      <c r="D26" s="58" t="str">
        <f>'Input Nilai'!D37</f>
        <v>Sarana dan Prasarana Komunikasi/Informasi</v>
      </c>
      <c r="E26" s="61">
        <f>'Input Nilai'!E37</f>
        <v>25</v>
      </c>
      <c r="F26" s="61">
        <f>'Input Nilai'!F37</f>
        <v>1</v>
      </c>
      <c r="G26" s="61" t="str">
        <f>IF(F26=1,"2",IF(F26=0,"1"))</f>
        <v>2</v>
      </c>
      <c r="H26" s="68">
        <f>((G26+G27+G28+G29)*5/5)</f>
        <v>5</v>
      </c>
      <c r="I26" s="69">
        <v>4.0</v>
      </c>
      <c r="J26" s="69">
        <v>3.0</v>
      </c>
      <c r="K26" s="69">
        <v>2.0</v>
      </c>
      <c r="L26" s="69">
        <v>2.0</v>
      </c>
      <c r="M26" s="69">
        <v>2.0</v>
      </c>
      <c r="N26" s="69">
        <v>3.0</v>
      </c>
      <c r="O26" s="69">
        <v>3.0</v>
      </c>
      <c r="P26" s="69">
        <v>3.0</v>
      </c>
      <c r="Q26" s="69">
        <v>3.0</v>
      </c>
      <c r="R26" s="69">
        <v>3.0</v>
      </c>
      <c r="S26" s="69">
        <v>3.0</v>
      </c>
      <c r="T26" s="69">
        <v>3.0</v>
      </c>
      <c r="U26" s="71">
        <v>3.0</v>
      </c>
      <c r="V26" s="69">
        <v>3.0</v>
      </c>
      <c r="W26" s="69">
        <v>3.0</v>
      </c>
      <c r="X26" s="69">
        <v>3.0</v>
      </c>
      <c r="Y26" s="69">
        <v>3.0</v>
      </c>
      <c r="Z26" s="72"/>
      <c r="AA26" s="73">
        <f>SUM(I26:Y28)/17</f>
        <v>2.882352941</v>
      </c>
      <c r="AB26" s="73">
        <f>1/14</f>
        <v>0.07142857143</v>
      </c>
      <c r="AC26" s="74">
        <f>IF(H26&lt;1,"0",H26)</f>
        <v>5</v>
      </c>
      <c r="AD26" s="75">
        <f>IF(AC26="",0,AC26)</f>
        <v>5</v>
      </c>
      <c r="AE26" s="75">
        <f>AB26/5</f>
        <v>0.01428571429</v>
      </c>
      <c r="AF26" s="75">
        <f>AD26*AE26</f>
        <v>0.07142857143</v>
      </c>
      <c r="AG26" s="79"/>
      <c r="AH26" s="79"/>
      <c r="AI26" s="79"/>
      <c r="AJ26" s="58" t="str">
        <f>IF(AF26=0,"-",
IF(H26=1,'Rekomendasi Aksi'!E26,
IF(H26=2,'Rekomendasi Aksi'!E26,
IF(H26=3,'Rekomendasi Aksi'!E27,
IF(H26=4,'Rekomendasi Aksi'!E28,
IF(H26=5,'Rekomendasi Aksi'!E29))))))</f>
        <v>Melakukan kerjasama dengan dinas/lembaga/organisasi untuk indentifikasi kebutuhan, perencanaan dan pelaksanaan  pengembangan/peningkatan penyelenggaraan sarana dan prasarana komunikasi/informasi di Desa/Kelurahan.</v>
      </c>
    </row>
    <row r="27" ht="15.0" customHeight="1">
      <c r="A27" s="79"/>
      <c r="B27" s="79"/>
      <c r="C27" s="79"/>
      <c r="D27" s="79"/>
      <c r="E27" s="61">
        <f>'Input Nilai'!E38</f>
        <v>26</v>
      </c>
      <c r="F27" s="61">
        <f>'Input Nilai'!F38</f>
        <v>1</v>
      </c>
      <c r="G27" s="61" t="str">
        <f t="shared" ref="G27:G29" si="7">IF(F27&lt;1,"0",IF(F27=0,"0",IF(F27=1,"1")))</f>
        <v>1</v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2"/>
      <c r="AA27" s="79"/>
      <c r="AB27" s="79"/>
      <c r="AC27" s="79"/>
      <c r="AD27" s="79"/>
      <c r="AE27" s="79"/>
      <c r="AF27" s="79"/>
      <c r="AG27" s="79"/>
      <c r="AH27" s="79"/>
      <c r="AI27" s="79"/>
      <c r="AJ27" s="79"/>
    </row>
    <row r="28" ht="15.0" customHeight="1">
      <c r="A28" s="79"/>
      <c r="B28" s="79"/>
      <c r="C28" s="79"/>
      <c r="D28" s="79"/>
      <c r="E28" s="61">
        <f>'Input Nilai'!E39</f>
        <v>27</v>
      </c>
      <c r="F28" s="61">
        <f>'Input Nilai'!F39</f>
        <v>1</v>
      </c>
      <c r="G28" s="61" t="str">
        <f t="shared" si="7"/>
        <v>1</v>
      </c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2"/>
      <c r="AA28" s="79"/>
      <c r="AB28" s="79"/>
      <c r="AC28" s="79"/>
      <c r="AD28" s="79"/>
      <c r="AE28" s="79"/>
      <c r="AF28" s="79"/>
      <c r="AG28" s="79"/>
      <c r="AH28" s="79"/>
      <c r="AI28" s="79"/>
      <c r="AJ28" s="79"/>
    </row>
    <row r="29" ht="15.0" customHeight="1">
      <c r="A29" s="79"/>
      <c r="B29" s="79"/>
      <c r="C29" s="80"/>
      <c r="D29" s="80"/>
      <c r="E29" s="61">
        <f>'Input Nilai'!E40</f>
        <v>28</v>
      </c>
      <c r="F29" s="61">
        <f>'Input Nilai'!F40</f>
        <v>1</v>
      </c>
      <c r="G29" s="61" t="str">
        <f t="shared" si="7"/>
        <v>1</v>
      </c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72"/>
      <c r="AA29" s="80"/>
      <c r="AB29" s="80"/>
      <c r="AC29" s="80"/>
      <c r="AD29" s="80"/>
      <c r="AE29" s="80"/>
      <c r="AF29" s="80"/>
      <c r="AG29" s="79"/>
      <c r="AH29" s="79"/>
      <c r="AI29" s="79"/>
      <c r="AJ29" s="80"/>
    </row>
    <row r="30" ht="15.0" customHeight="1">
      <c r="A30" s="79"/>
      <c r="B30" s="79"/>
      <c r="C30" s="55">
        <f>'Input Nilai'!C41</f>
        <v>8</v>
      </c>
      <c r="D30" s="58" t="str">
        <f>'Input Nilai'!D41</f>
        <v>Pelayanan Administrasi dan Kependudukan</v>
      </c>
      <c r="E30" s="61">
        <f>'Input Nilai'!E41</f>
        <v>29</v>
      </c>
      <c r="F30" s="61">
        <f>'Input Nilai'!F41</f>
        <v>1</v>
      </c>
      <c r="G30" s="61" t="str">
        <f>IF(F30=1,"2",IF(F30=0,"1"))</f>
        <v>2</v>
      </c>
      <c r="H30" s="68">
        <f>((G30+G31+G32+G33)*5/5)</f>
        <v>5</v>
      </c>
      <c r="I30" s="69">
        <v>2.0</v>
      </c>
      <c r="J30" s="69">
        <v>2.0</v>
      </c>
      <c r="K30" s="69">
        <v>2.0</v>
      </c>
      <c r="L30" s="69">
        <v>1.0</v>
      </c>
      <c r="M30" s="69">
        <v>2.0</v>
      </c>
      <c r="N30" s="69">
        <v>2.0</v>
      </c>
      <c r="O30" s="69">
        <v>4.0</v>
      </c>
      <c r="P30" s="69">
        <v>3.0</v>
      </c>
      <c r="Q30" s="69">
        <v>4.0</v>
      </c>
      <c r="R30" s="69">
        <v>3.0</v>
      </c>
      <c r="S30" s="69">
        <v>2.0</v>
      </c>
      <c r="T30" s="69">
        <v>3.0</v>
      </c>
      <c r="U30" s="71">
        <v>3.0</v>
      </c>
      <c r="V30" s="69">
        <v>1.0</v>
      </c>
      <c r="W30" s="69">
        <v>2.0</v>
      </c>
      <c r="X30" s="69">
        <v>2.0</v>
      </c>
      <c r="Y30" s="69">
        <v>4.0</v>
      </c>
      <c r="Z30" s="72"/>
      <c r="AA30" s="73">
        <f>SUM(I30:Y32)/17</f>
        <v>2.470588235</v>
      </c>
      <c r="AB30" s="73">
        <f>1/14</f>
        <v>0.07142857143</v>
      </c>
      <c r="AC30" s="74">
        <f>IF(H30&lt;1,"0",H30)</f>
        <v>5</v>
      </c>
      <c r="AD30" s="75">
        <f>IF(AC30="",0,AC30)</f>
        <v>5</v>
      </c>
      <c r="AE30" s="75">
        <f>AB30/5</f>
        <v>0.01428571429</v>
      </c>
      <c r="AF30" s="75">
        <f>AD30*AE30</f>
        <v>0.07142857143</v>
      </c>
      <c r="AG30" s="79"/>
      <c r="AH30" s="79"/>
      <c r="AI30" s="79"/>
      <c r="AJ30" s="58" t="str">
        <f>IF(AF30=0,"-",
IF(H30=1,'Rekomendasi Aksi'!E30,
IF(H30=2,'Rekomendasi Aksi'!E30,
IF(H30=3,'Rekomendasi Aksi'!E31,
IF(H30=4,'Rekomendasi Aksi'!E32,
IF(H30=5,'Rekomendasi Aksi'!E33))))))</f>
        <v>Melakukan kerjasama dengan dinas/lembaga/organisasi untuk indentifikasi kebutuhan, perencanaan dan pelaksanaan  pengembangan/peningkatan penyelenggaraan pelayanan administrasi dan kependudukan di Desa/Kelurahan.</v>
      </c>
    </row>
    <row r="31" ht="15.0" customHeight="1">
      <c r="A31" s="79"/>
      <c r="B31" s="79"/>
      <c r="C31" s="79"/>
      <c r="D31" s="79"/>
      <c r="E31" s="61">
        <f>'Input Nilai'!E42</f>
        <v>30</v>
      </c>
      <c r="F31" s="61">
        <f>'Input Nilai'!F42</f>
        <v>1</v>
      </c>
      <c r="G31" s="61" t="str">
        <f t="shared" ref="G31:G33" si="8">IF(F31&lt;1,"0",IF(F31=0,"0",IF(F31=1,"1")))</f>
        <v>1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2"/>
      <c r="AA31" s="79"/>
      <c r="AB31" s="79"/>
      <c r="AC31" s="79"/>
      <c r="AD31" s="79"/>
      <c r="AE31" s="79"/>
      <c r="AF31" s="79"/>
      <c r="AG31" s="79"/>
      <c r="AH31" s="79"/>
      <c r="AI31" s="79"/>
      <c r="AJ31" s="79"/>
    </row>
    <row r="32" ht="15.0" customHeight="1">
      <c r="A32" s="79"/>
      <c r="B32" s="79"/>
      <c r="C32" s="79"/>
      <c r="D32" s="79"/>
      <c r="E32" s="61">
        <f>'Input Nilai'!E43</f>
        <v>31</v>
      </c>
      <c r="F32" s="61">
        <f>'Input Nilai'!F43</f>
        <v>1</v>
      </c>
      <c r="G32" s="61" t="str">
        <f t="shared" si="8"/>
        <v>1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2"/>
      <c r="AA32" s="79"/>
      <c r="AB32" s="79"/>
      <c r="AC32" s="79"/>
      <c r="AD32" s="79"/>
      <c r="AE32" s="79"/>
      <c r="AF32" s="79"/>
      <c r="AG32" s="79"/>
      <c r="AH32" s="79"/>
      <c r="AI32" s="79"/>
      <c r="AJ32" s="79"/>
    </row>
    <row r="33" ht="15.0" customHeight="1">
      <c r="A33" s="79"/>
      <c r="B33" s="79"/>
      <c r="C33" s="80"/>
      <c r="D33" s="80"/>
      <c r="E33" s="61">
        <f>'Input Nilai'!E44</f>
        <v>32</v>
      </c>
      <c r="F33" s="61">
        <f>'Input Nilai'!F44</f>
        <v>1</v>
      </c>
      <c r="G33" s="61" t="str">
        <f t="shared" si="8"/>
        <v>1</v>
      </c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72"/>
      <c r="AA33" s="80"/>
      <c r="AB33" s="80"/>
      <c r="AC33" s="80"/>
      <c r="AD33" s="80"/>
      <c r="AE33" s="80"/>
      <c r="AF33" s="80"/>
      <c r="AG33" s="79"/>
      <c r="AH33" s="79"/>
      <c r="AI33" s="79"/>
      <c r="AJ33" s="80"/>
    </row>
    <row r="34" ht="15.0" customHeight="1">
      <c r="A34" s="79"/>
      <c r="B34" s="79"/>
      <c r="C34" s="55">
        <f>'Input Nilai'!C45</f>
        <v>9</v>
      </c>
      <c r="D34" s="58" t="str">
        <f>'Input Nilai'!D45</f>
        <v>Peraturan/Kegiatan Perlindungan dan Pengelolaan Lingkungan Hidup</v>
      </c>
      <c r="E34" s="61">
        <f>'Input Nilai'!E45</f>
        <v>33</v>
      </c>
      <c r="F34" s="61">
        <f>'Input Nilai'!F45</f>
        <v>1</v>
      </c>
      <c r="G34" s="61" t="str">
        <f>IF(F34=1,"2",IF(F34=0,"1"))</f>
        <v>2</v>
      </c>
      <c r="H34" s="68">
        <f>((G34+G35+G36+G37)*5/5)</f>
        <v>5</v>
      </c>
      <c r="I34" s="69">
        <v>4.0</v>
      </c>
      <c r="J34" s="69">
        <v>2.0</v>
      </c>
      <c r="K34" s="69">
        <v>2.0</v>
      </c>
      <c r="L34" s="69">
        <v>3.0</v>
      </c>
      <c r="M34" s="69">
        <v>3.0</v>
      </c>
      <c r="N34" s="69">
        <v>4.0</v>
      </c>
      <c r="O34" s="69">
        <v>3.0</v>
      </c>
      <c r="P34" s="69">
        <v>4.0</v>
      </c>
      <c r="Q34" s="69">
        <v>3.0</v>
      </c>
      <c r="R34" s="69">
        <v>3.0</v>
      </c>
      <c r="S34" s="69">
        <v>4.0</v>
      </c>
      <c r="T34" s="69">
        <v>3.0</v>
      </c>
      <c r="U34" s="71">
        <v>2.0</v>
      </c>
      <c r="V34" s="69">
        <v>4.0</v>
      </c>
      <c r="W34" s="69">
        <v>4.0</v>
      </c>
      <c r="X34" s="69">
        <v>4.0</v>
      </c>
      <c r="Y34" s="69">
        <v>3.0</v>
      </c>
      <c r="Z34" s="72"/>
      <c r="AA34" s="73">
        <f>SUM(I34:Y36)/17</f>
        <v>3.235294118</v>
      </c>
      <c r="AB34" s="73">
        <f>1/14</f>
        <v>0.07142857143</v>
      </c>
      <c r="AC34" s="74">
        <f>IF(H34&lt;1,"0",H34)</f>
        <v>5</v>
      </c>
      <c r="AD34" s="75">
        <f>IF(AC34="",0,AC34)</f>
        <v>5</v>
      </c>
      <c r="AE34" s="75">
        <f>AB34/5</f>
        <v>0.01428571429</v>
      </c>
      <c r="AF34" s="75">
        <f>AD34*AE34</f>
        <v>0.07142857143</v>
      </c>
      <c r="AG34" s="79"/>
      <c r="AH34" s="79"/>
      <c r="AI34" s="79"/>
      <c r="AJ34" s="58" t="str">
        <f>IF(AF34=0,"-",
IF(H34=1,'Rekomendasi Aksi'!E34,
IF(H34=2,'Rekomendasi Aksi'!E34,
IF(H34=3,'Rekomendasi Aksi'!E35,
IF(H34=4,'Rekomendasi Aksi'!E36,
IF(H34=5,'Rekomendasi Aksi'!E37))))))</f>
        <v>Melakukan kerjasama dengan dinas/lembaga/organisasi untuk indentifikasi kebutuhan, perencanaan dan pelaksanaan pengembangan/peningkatan penyelenggaraan layanan perlindungan dan pengelolaan lingkungan hidup di Desa/Kelurahan.</v>
      </c>
    </row>
    <row r="35" ht="15.0" customHeight="1">
      <c r="A35" s="79"/>
      <c r="B35" s="79"/>
      <c r="C35" s="79"/>
      <c r="D35" s="79"/>
      <c r="E35" s="61">
        <f>'Input Nilai'!E46</f>
        <v>34</v>
      </c>
      <c r="F35" s="61">
        <f>'Input Nilai'!F46</f>
        <v>1</v>
      </c>
      <c r="G35" s="61" t="str">
        <f t="shared" ref="G35:G37" si="9">IF(F35&lt;1,"0",IF(F35=0,"0",IF(F35=1,"1")))</f>
        <v>1</v>
      </c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2"/>
      <c r="AA35" s="79"/>
      <c r="AB35" s="79"/>
      <c r="AC35" s="79"/>
      <c r="AD35" s="79"/>
      <c r="AE35" s="79"/>
      <c r="AF35" s="79"/>
      <c r="AG35" s="79"/>
      <c r="AH35" s="79"/>
      <c r="AI35" s="79"/>
      <c r="AJ35" s="79"/>
    </row>
    <row r="36" ht="15.0" customHeight="1">
      <c r="A36" s="79"/>
      <c r="B36" s="79"/>
      <c r="C36" s="79"/>
      <c r="D36" s="79"/>
      <c r="E36" s="61">
        <f>'Input Nilai'!E47</f>
        <v>35</v>
      </c>
      <c r="F36" s="61">
        <f>'Input Nilai'!F47</f>
        <v>1</v>
      </c>
      <c r="G36" s="61" t="str">
        <f t="shared" si="9"/>
        <v>1</v>
      </c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2"/>
      <c r="AA36" s="79"/>
      <c r="AB36" s="79"/>
      <c r="AC36" s="79"/>
      <c r="AD36" s="79"/>
      <c r="AE36" s="79"/>
      <c r="AF36" s="79"/>
      <c r="AG36" s="79"/>
      <c r="AH36" s="79"/>
      <c r="AI36" s="79"/>
      <c r="AJ36" s="79"/>
    </row>
    <row r="37" ht="15.0" customHeight="1">
      <c r="A37" s="79"/>
      <c r="B37" s="79"/>
      <c r="C37" s="80"/>
      <c r="D37" s="80"/>
      <c r="E37" s="61">
        <f>'Input Nilai'!E48</f>
        <v>36</v>
      </c>
      <c r="F37" s="61">
        <f>'Input Nilai'!F48</f>
        <v>1</v>
      </c>
      <c r="G37" s="61" t="str">
        <f t="shared" si="9"/>
        <v>1</v>
      </c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72"/>
      <c r="AA37" s="80"/>
      <c r="AB37" s="80"/>
      <c r="AC37" s="80"/>
      <c r="AD37" s="80"/>
      <c r="AE37" s="80"/>
      <c r="AF37" s="80"/>
      <c r="AG37" s="79"/>
      <c r="AH37" s="79"/>
      <c r="AI37" s="79"/>
      <c r="AJ37" s="80"/>
    </row>
    <row r="38" ht="15.0" customHeight="1">
      <c r="A38" s="79"/>
      <c r="B38" s="79"/>
      <c r="C38" s="55">
        <f>'Input Nilai'!C49</f>
        <v>10</v>
      </c>
      <c r="D38" s="58" t="str">
        <f>'Input Nilai'!D49</f>
        <v>Peraturan dan Kegiatan Keagamaan</v>
      </c>
      <c r="E38" s="61">
        <f>'Input Nilai'!E49</f>
        <v>37</v>
      </c>
      <c r="F38" s="61">
        <f>'Input Nilai'!F49</f>
        <v>0</v>
      </c>
      <c r="G38" s="61" t="str">
        <f>IF(F38=1,"2",IF(F38=0,"1"))</f>
        <v>1</v>
      </c>
      <c r="H38" s="68">
        <f>((G38+G39+G40+G41)*5/5)</f>
        <v>1</v>
      </c>
      <c r="I38" s="69">
        <v>3.0</v>
      </c>
      <c r="J38" s="69">
        <v>2.0</v>
      </c>
      <c r="K38" s="69">
        <v>2.0</v>
      </c>
      <c r="L38" s="69">
        <v>1.0</v>
      </c>
      <c r="M38" s="69">
        <v>2.0</v>
      </c>
      <c r="N38" s="69">
        <v>2.0</v>
      </c>
      <c r="O38" s="69">
        <v>3.0</v>
      </c>
      <c r="P38" s="69">
        <v>4.0</v>
      </c>
      <c r="Q38" s="69">
        <v>2.0</v>
      </c>
      <c r="R38" s="69">
        <v>2.0</v>
      </c>
      <c r="S38" s="69">
        <v>3.0</v>
      </c>
      <c r="T38" s="69">
        <v>3.0</v>
      </c>
      <c r="U38" s="71">
        <v>2.0</v>
      </c>
      <c r="V38" s="69">
        <v>1.0</v>
      </c>
      <c r="W38" s="69">
        <v>3.0</v>
      </c>
      <c r="X38" s="69">
        <v>3.0</v>
      </c>
      <c r="Y38" s="69">
        <v>3.0</v>
      </c>
      <c r="Z38" s="72"/>
      <c r="AA38" s="73">
        <f>SUM(I38:Y40)/17</f>
        <v>2.411764706</v>
      </c>
      <c r="AB38" s="73">
        <f>1/14</f>
        <v>0.07142857143</v>
      </c>
      <c r="AC38" s="74">
        <f>IF(H38&lt;1,"0",H38)</f>
        <v>1</v>
      </c>
      <c r="AD38" s="75">
        <f>IF(AC38="",0,AC38)</f>
        <v>1</v>
      </c>
      <c r="AE38" s="75">
        <f>AB38/5</f>
        <v>0.01428571429</v>
      </c>
      <c r="AF38" s="75">
        <f>AD38*AE38</f>
        <v>0.01428571429</v>
      </c>
      <c r="AG38" s="79"/>
      <c r="AH38" s="79"/>
      <c r="AI38" s="79"/>
      <c r="AJ38" s="58" t="str">
        <f>IF(AF38=0,"-",
IF(H38=1,'Rekomendasi Aksi'!E38,
IF(H38=2,'Rekomendasi Aksi'!E38,
IF(H38=3,'Rekomendasi Aksi'!E39,
IF(H38=4,'Rekomendasi Aksi'!E40,
IF(H38=5,'Rekomendasi Aksi'!E41))))))</f>
        <v>Pengusulan penyelenggaraan layanan keagamaan melalui mekanisme Musrenbang Desa/Kelurahan hingga Musrenbang Kabupaten/Kota, sesuai SPM bidang keagamaan.</v>
      </c>
    </row>
    <row r="39" ht="15.0" customHeight="1">
      <c r="A39" s="79"/>
      <c r="B39" s="79"/>
      <c r="C39" s="79"/>
      <c r="D39" s="79"/>
      <c r="E39" s="61">
        <f>'Input Nilai'!E50</f>
        <v>38</v>
      </c>
      <c r="F39" s="61">
        <f>'Input Nilai'!F50</f>
        <v>0</v>
      </c>
      <c r="G39" s="61" t="str">
        <f t="shared" ref="G39:G41" si="10">IF(F39&lt;1,"0",IF(F39=0,"0",IF(F39=1,"1")))</f>
        <v>0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2"/>
      <c r="AA39" s="79"/>
      <c r="AB39" s="79"/>
      <c r="AC39" s="79"/>
      <c r="AD39" s="79"/>
      <c r="AE39" s="79"/>
      <c r="AF39" s="79"/>
      <c r="AG39" s="79"/>
      <c r="AH39" s="79"/>
      <c r="AI39" s="79"/>
      <c r="AJ39" s="79"/>
    </row>
    <row r="40" ht="15.0" customHeight="1">
      <c r="A40" s="79"/>
      <c r="B40" s="79"/>
      <c r="C40" s="79"/>
      <c r="D40" s="79"/>
      <c r="E40" s="61">
        <f>'Input Nilai'!E51</f>
        <v>39</v>
      </c>
      <c r="F40" s="61">
        <f>'Input Nilai'!F51</f>
        <v>0</v>
      </c>
      <c r="G40" s="61" t="str">
        <f t="shared" si="10"/>
        <v>0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2"/>
      <c r="AA40" s="79"/>
      <c r="AB40" s="79"/>
      <c r="AC40" s="79"/>
      <c r="AD40" s="79"/>
      <c r="AE40" s="79"/>
      <c r="AF40" s="79"/>
      <c r="AG40" s="79"/>
      <c r="AH40" s="79"/>
      <c r="AI40" s="79"/>
      <c r="AJ40" s="79"/>
    </row>
    <row r="41" ht="15.0" customHeight="1">
      <c r="A41" s="79"/>
      <c r="B41" s="79"/>
      <c r="C41" s="80"/>
      <c r="D41" s="80"/>
      <c r="E41" s="61">
        <f>'Input Nilai'!E52</f>
        <v>40</v>
      </c>
      <c r="F41" s="61">
        <f>'Input Nilai'!F52</f>
        <v>0</v>
      </c>
      <c r="G41" s="61" t="str">
        <f t="shared" si="10"/>
        <v>0</v>
      </c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72"/>
      <c r="AA41" s="80"/>
      <c r="AB41" s="80"/>
      <c r="AC41" s="80"/>
      <c r="AD41" s="80"/>
      <c r="AE41" s="80"/>
      <c r="AF41" s="80"/>
      <c r="AG41" s="79"/>
      <c r="AH41" s="79"/>
      <c r="AI41" s="79"/>
      <c r="AJ41" s="80"/>
    </row>
    <row r="42" ht="15.0" customHeight="1">
      <c r="A42" s="79"/>
      <c r="B42" s="79"/>
      <c r="C42" s="55">
        <f>'Input Nilai'!C53</f>
        <v>11</v>
      </c>
      <c r="D42" s="58" t="str">
        <f>'Input Nilai'!D53</f>
        <v>Peraturan dan Kegiatan Kebudayan</v>
      </c>
      <c r="E42" s="61">
        <f>'Input Nilai'!E53</f>
        <v>41</v>
      </c>
      <c r="F42" s="61">
        <f>'Input Nilai'!F53</f>
        <v>1</v>
      </c>
      <c r="G42" s="61" t="str">
        <f>IF(F42=1,"2",IF(F42=0,"1"))</f>
        <v>2</v>
      </c>
      <c r="H42" s="68">
        <f>((G42+G43+G44+G45)*5/5)</f>
        <v>5</v>
      </c>
      <c r="I42" s="69">
        <v>3.0</v>
      </c>
      <c r="J42" s="69">
        <v>1.0</v>
      </c>
      <c r="K42" s="69">
        <v>2.0</v>
      </c>
      <c r="L42" s="69">
        <v>1.0</v>
      </c>
      <c r="M42" s="69">
        <v>2.0</v>
      </c>
      <c r="N42" s="69">
        <v>2.0</v>
      </c>
      <c r="O42" s="69">
        <v>3.0</v>
      </c>
      <c r="P42" s="69">
        <v>4.0</v>
      </c>
      <c r="Q42" s="69">
        <v>3.0</v>
      </c>
      <c r="R42" s="69">
        <v>2.0</v>
      </c>
      <c r="S42" s="69">
        <v>2.0</v>
      </c>
      <c r="T42" s="69">
        <v>3.0</v>
      </c>
      <c r="U42" s="71">
        <v>2.0</v>
      </c>
      <c r="V42" s="69">
        <v>1.0</v>
      </c>
      <c r="W42" s="69">
        <v>2.0</v>
      </c>
      <c r="X42" s="69">
        <v>2.0</v>
      </c>
      <c r="Y42" s="69">
        <v>2.0</v>
      </c>
      <c r="Z42" s="72"/>
      <c r="AA42" s="73">
        <f>SUM(I42:Y44)/17</f>
        <v>2.176470588</v>
      </c>
      <c r="AB42" s="73">
        <f>1/14</f>
        <v>0.07142857143</v>
      </c>
      <c r="AC42" s="74">
        <f>IF(H42&lt;1,"0",H42)</f>
        <v>5</v>
      </c>
      <c r="AD42" s="75">
        <f>IF(AC42="",0,AC42)</f>
        <v>5</v>
      </c>
      <c r="AE42" s="75">
        <f>AB42/5</f>
        <v>0.01428571429</v>
      </c>
      <c r="AF42" s="75">
        <f>AD42*AE42</f>
        <v>0.07142857143</v>
      </c>
      <c r="AG42" s="79"/>
      <c r="AH42" s="79"/>
      <c r="AI42" s="79"/>
      <c r="AJ42" s="58" t="str">
        <f>IF(AF42=0,"-",
IF(H42=1,'Rekomendasi Aksi'!E42,
IF(H42=2,'Rekomendasi Aksi'!E42,
IF(H42=3,'Rekomendasi Aksi'!E43,
IF(H42=4,'Rekomendasi Aksi'!E44,
IF(H42=5,'Rekomendasi Aksi'!E45))))))</f>
        <v>Melakukan kerjasama dengan Dinas/lembaga/organisasi untuk mengembangkan dan meningkatkan kegiatan kebudayaan</v>
      </c>
    </row>
    <row r="43" ht="15.0" customHeight="1">
      <c r="A43" s="79"/>
      <c r="B43" s="79"/>
      <c r="C43" s="79"/>
      <c r="D43" s="79"/>
      <c r="E43" s="61">
        <f>'Input Nilai'!E54</f>
        <v>42</v>
      </c>
      <c r="F43" s="61">
        <f>'Input Nilai'!F54</f>
        <v>1</v>
      </c>
      <c r="G43" s="61" t="str">
        <f t="shared" ref="G43:G45" si="11">IF(F43&lt;1,"0",IF(F43=0,"0",IF(F43=1,"1")))</f>
        <v>1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2"/>
      <c r="AA43" s="79"/>
      <c r="AB43" s="79"/>
      <c r="AC43" s="79"/>
      <c r="AD43" s="79"/>
      <c r="AE43" s="79"/>
      <c r="AF43" s="79"/>
      <c r="AG43" s="79"/>
      <c r="AH43" s="79"/>
      <c r="AI43" s="79"/>
      <c r="AJ43" s="79"/>
    </row>
    <row r="44" ht="15.0" customHeight="1">
      <c r="A44" s="79"/>
      <c r="B44" s="79"/>
      <c r="C44" s="79"/>
      <c r="D44" s="79"/>
      <c r="E44" s="61">
        <f>'Input Nilai'!E55</f>
        <v>43</v>
      </c>
      <c r="F44" s="61">
        <f>'Input Nilai'!F55</f>
        <v>1</v>
      </c>
      <c r="G44" s="61" t="str">
        <f t="shared" si="11"/>
        <v>1</v>
      </c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2"/>
      <c r="AA44" s="79"/>
      <c r="AB44" s="79"/>
      <c r="AC44" s="79"/>
      <c r="AD44" s="79"/>
      <c r="AE44" s="79"/>
      <c r="AF44" s="79"/>
      <c r="AG44" s="79"/>
      <c r="AH44" s="79"/>
      <c r="AI44" s="79"/>
      <c r="AJ44" s="79"/>
    </row>
    <row r="45" ht="15.0" customHeight="1">
      <c r="A45" s="79"/>
      <c r="B45" s="79"/>
      <c r="C45" s="80"/>
      <c r="D45" s="80"/>
      <c r="E45" s="61">
        <f>'Input Nilai'!E56</f>
        <v>44</v>
      </c>
      <c r="F45" s="61">
        <f>'Input Nilai'!F56</f>
        <v>1</v>
      </c>
      <c r="G45" s="61" t="str">
        <f t="shared" si="11"/>
        <v>1</v>
      </c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72"/>
      <c r="AA45" s="80"/>
      <c r="AB45" s="80"/>
      <c r="AC45" s="80"/>
      <c r="AD45" s="80"/>
      <c r="AE45" s="80"/>
      <c r="AF45" s="80"/>
      <c r="AG45" s="79"/>
      <c r="AH45" s="79"/>
      <c r="AI45" s="79"/>
      <c r="AJ45" s="80"/>
    </row>
    <row r="46" ht="15.0" customHeight="1">
      <c r="A46" s="79"/>
      <c r="B46" s="79"/>
      <c r="C46" s="55">
        <f>'Input Nilai'!C57</f>
        <v>12</v>
      </c>
      <c r="D46" s="58" t="str">
        <f>'Input Nilai'!D57</f>
        <v>Peraturan dan Kegiatan Perlindungan Keamanan</v>
      </c>
      <c r="E46" s="61">
        <f>'Input Nilai'!E57</f>
        <v>45</v>
      </c>
      <c r="F46" s="61">
        <f>'Input Nilai'!F57</f>
        <v>1</v>
      </c>
      <c r="G46" s="61" t="str">
        <f>IF(F46=1,"2",IF(F46=0,"1"))</f>
        <v>2</v>
      </c>
      <c r="H46" s="68">
        <f>((G46+G47+G48+G49)*5/5)</f>
        <v>5</v>
      </c>
      <c r="I46" s="69">
        <v>3.0</v>
      </c>
      <c r="J46" s="69">
        <v>2.0</v>
      </c>
      <c r="K46" s="69">
        <v>2.0</v>
      </c>
      <c r="L46" s="69">
        <v>3.0</v>
      </c>
      <c r="M46" s="69">
        <v>3.0</v>
      </c>
      <c r="N46" s="69">
        <v>3.0</v>
      </c>
      <c r="O46" s="69">
        <v>3.0</v>
      </c>
      <c r="P46" s="69">
        <v>4.0</v>
      </c>
      <c r="Q46" s="69">
        <v>2.0</v>
      </c>
      <c r="R46" s="69">
        <v>3.0</v>
      </c>
      <c r="S46" s="69">
        <v>3.0</v>
      </c>
      <c r="T46" s="69">
        <v>3.0</v>
      </c>
      <c r="U46" s="71">
        <v>2.0</v>
      </c>
      <c r="V46" s="69">
        <v>3.0</v>
      </c>
      <c r="W46" s="69">
        <v>3.0</v>
      </c>
      <c r="X46" s="69">
        <v>3.0</v>
      </c>
      <c r="Y46" s="69">
        <v>3.0</v>
      </c>
      <c r="Z46" s="72"/>
      <c r="AA46" s="73">
        <f>SUM(I46:Y48)/17</f>
        <v>2.823529412</v>
      </c>
      <c r="AB46" s="73">
        <f>1/14</f>
        <v>0.07142857143</v>
      </c>
      <c r="AC46" s="74">
        <f>IF(H46&lt;1,"0",H46)</f>
        <v>5</v>
      </c>
      <c r="AD46" s="75">
        <f>IF(AC46="",0,AC46)</f>
        <v>5</v>
      </c>
      <c r="AE46" s="75">
        <f>AB46/5</f>
        <v>0.01428571429</v>
      </c>
      <c r="AF46" s="75">
        <f>AD46*AE46</f>
        <v>0.07142857143</v>
      </c>
      <c r="AG46" s="79"/>
      <c r="AH46" s="79"/>
      <c r="AI46" s="79"/>
      <c r="AJ46" s="58" t="str">
        <f>IF(AF46=0,"-",
IF(H46=1,'Rekomendasi Aksi'!E46,
IF(H46=2,'Rekomendasi Aksi'!E46,
IF(H46=3,'Rekomendasi Aksi'!E47,
IF(H46=4,'Rekomendasi Aksi'!E48,
IF(H46=5,'Rekomendasi Aksi'!E49))))))</f>
        <v>Melakukan kerjasama dengan Dinas/lembaga/organisasi untuk mengembangkan dan meningkatkan kegiatan perlindungan keamanan</v>
      </c>
    </row>
    <row r="47" ht="15.0" customHeight="1">
      <c r="A47" s="79"/>
      <c r="B47" s="79"/>
      <c r="C47" s="79"/>
      <c r="D47" s="79"/>
      <c r="E47" s="61">
        <f>'Input Nilai'!E58</f>
        <v>46</v>
      </c>
      <c r="F47" s="61">
        <f>'Input Nilai'!F58</f>
        <v>1</v>
      </c>
      <c r="G47" s="61" t="str">
        <f t="shared" ref="G47:G49" si="12">IF(F47&lt;1,"0",IF(F47=0,"0",IF(F47=1,"1")))</f>
        <v>1</v>
      </c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2"/>
      <c r="AA47" s="79"/>
      <c r="AB47" s="79"/>
      <c r="AC47" s="79"/>
      <c r="AD47" s="79"/>
      <c r="AE47" s="79"/>
      <c r="AF47" s="79"/>
      <c r="AG47" s="79"/>
      <c r="AH47" s="79"/>
      <c r="AI47" s="79"/>
      <c r="AJ47" s="79"/>
    </row>
    <row r="48" ht="15.0" customHeight="1">
      <c r="A48" s="79"/>
      <c r="B48" s="79"/>
      <c r="C48" s="79"/>
      <c r="D48" s="79"/>
      <c r="E48" s="61">
        <f>'Input Nilai'!E59</f>
        <v>47</v>
      </c>
      <c r="F48" s="61">
        <f>'Input Nilai'!F59</f>
        <v>1</v>
      </c>
      <c r="G48" s="61" t="str">
        <f t="shared" si="12"/>
        <v>1</v>
      </c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2"/>
      <c r="AA48" s="79"/>
      <c r="AB48" s="79"/>
      <c r="AC48" s="79"/>
      <c r="AD48" s="79"/>
      <c r="AE48" s="79"/>
      <c r="AF48" s="79"/>
      <c r="AG48" s="79"/>
      <c r="AH48" s="79"/>
      <c r="AI48" s="79"/>
      <c r="AJ48" s="79"/>
    </row>
    <row r="49" ht="15.0" customHeight="1">
      <c r="A49" s="79"/>
      <c r="B49" s="79"/>
      <c r="C49" s="80"/>
      <c r="D49" s="80"/>
      <c r="E49" s="61">
        <f>'Input Nilai'!E60</f>
        <v>48</v>
      </c>
      <c r="F49" s="61">
        <f>'Input Nilai'!F60</f>
        <v>1</v>
      </c>
      <c r="G49" s="61" t="str">
        <f t="shared" si="12"/>
        <v>1</v>
      </c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72"/>
      <c r="AA49" s="80"/>
      <c r="AB49" s="80"/>
      <c r="AC49" s="80"/>
      <c r="AD49" s="80"/>
      <c r="AE49" s="80"/>
      <c r="AF49" s="80"/>
      <c r="AG49" s="79"/>
      <c r="AH49" s="79"/>
      <c r="AI49" s="79"/>
      <c r="AJ49" s="80"/>
    </row>
    <row r="50" ht="15.0" customHeight="1">
      <c r="A50" s="79"/>
      <c r="B50" s="79"/>
      <c r="C50" s="55">
        <f>'Input Nilai'!C61</f>
        <v>13</v>
      </c>
      <c r="D50" s="58" t="str">
        <f>'Input Nilai'!D61</f>
        <v>Peraturan dan Kegiatan Pemberdayaan Perempuan dan Perlindungan Anak</v>
      </c>
      <c r="E50" s="61">
        <f>'Input Nilai'!E61</f>
        <v>49</v>
      </c>
      <c r="F50" s="61">
        <f>'Input Nilai'!F61</f>
        <v>1</v>
      </c>
      <c r="G50" s="61" t="str">
        <f>IF(F50=1,"2",IF(F50=0,"1"))</f>
        <v>2</v>
      </c>
      <c r="H50" s="68">
        <f>((G50+G51+G52+G53)*5/5)</f>
        <v>5</v>
      </c>
      <c r="I50" s="69">
        <v>3.0</v>
      </c>
      <c r="J50" s="69">
        <v>3.0</v>
      </c>
      <c r="K50" s="69">
        <v>2.0</v>
      </c>
      <c r="L50" s="69">
        <v>4.0</v>
      </c>
      <c r="M50" s="69">
        <v>3.0</v>
      </c>
      <c r="N50" s="69">
        <v>4.0</v>
      </c>
      <c r="O50" s="69">
        <v>3.0</v>
      </c>
      <c r="P50" s="69">
        <v>4.0</v>
      </c>
      <c r="Q50" s="69">
        <v>3.0</v>
      </c>
      <c r="R50" s="69">
        <v>3.0</v>
      </c>
      <c r="S50" s="69">
        <v>4.0</v>
      </c>
      <c r="T50" s="69">
        <v>4.0</v>
      </c>
      <c r="U50" s="71">
        <v>2.0</v>
      </c>
      <c r="V50" s="69">
        <v>3.0</v>
      </c>
      <c r="W50" s="69">
        <v>3.0</v>
      </c>
      <c r="X50" s="69">
        <v>4.0</v>
      </c>
      <c r="Y50" s="69">
        <v>4.0</v>
      </c>
      <c r="Z50" s="72"/>
      <c r="AA50" s="73">
        <f>SUM(I50:Y52)/17</f>
        <v>3.294117647</v>
      </c>
      <c r="AB50" s="73">
        <f>1/14</f>
        <v>0.07142857143</v>
      </c>
      <c r="AC50" s="74">
        <f>IF(H50&lt;1,"0",H50)</f>
        <v>5</v>
      </c>
      <c r="AD50" s="75">
        <f>IF(AC50="",0,AC50)</f>
        <v>5</v>
      </c>
      <c r="AE50" s="75">
        <f>AB50/5</f>
        <v>0.01428571429</v>
      </c>
      <c r="AF50" s="75">
        <f>AD50*AE50</f>
        <v>0.07142857143</v>
      </c>
      <c r="AG50" s="79"/>
      <c r="AH50" s="79"/>
      <c r="AI50" s="79"/>
      <c r="AJ50" s="58" t="str">
        <f>IF(AF50=0,"-",
IF(H50=1,'Rekomendasi Aksi'!E50,
IF(H50=2,'Rekomendasi Aksi'!E50,
IF(H50=3,'Rekomendasi Aksi'!E51,
IF(H50=4,'Rekomendasi Aksi'!E52,
IF(H50=5,'Rekomendasi Aksi'!E53))))))</f>
        <v>Melakukan kerjasama dengan dinas/lembaga/organisasi untuk indentifikasi kebutuhan, perencanaan dan pelaksanaan  pengembangan/peningkatan pemberdayaan perempuan dan perlindungan anak </v>
      </c>
    </row>
    <row r="51" ht="15.0" customHeight="1">
      <c r="A51" s="79"/>
      <c r="B51" s="79"/>
      <c r="C51" s="79"/>
      <c r="D51" s="79"/>
      <c r="E51" s="61">
        <f>'Input Nilai'!E62</f>
        <v>50</v>
      </c>
      <c r="F51" s="61">
        <f>'Input Nilai'!F62</f>
        <v>1</v>
      </c>
      <c r="G51" s="61" t="str">
        <f t="shared" ref="G51:G53" si="13">IF(F51&lt;1,"0",IF(F51=0,"0",IF(F51=1,"1")))</f>
        <v>1</v>
      </c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2"/>
      <c r="AA51" s="79"/>
      <c r="AB51" s="79"/>
      <c r="AC51" s="79"/>
      <c r="AD51" s="79"/>
      <c r="AE51" s="79"/>
      <c r="AF51" s="79"/>
      <c r="AG51" s="79"/>
      <c r="AH51" s="79"/>
      <c r="AI51" s="79"/>
      <c r="AJ51" s="79"/>
    </row>
    <row r="52" ht="15.0" customHeight="1">
      <c r="A52" s="79"/>
      <c r="B52" s="79"/>
      <c r="C52" s="79"/>
      <c r="D52" s="79"/>
      <c r="E52" s="61">
        <f>'Input Nilai'!E63</f>
        <v>51</v>
      </c>
      <c r="F52" s="61">
        <f>'Input Nilai'!F63</f>
        <v>1</v>
      </c>
      <c r="G52" s="61" t="str">
        <f t="shared" si="13"/>
        <v>1</v>
      </c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2"/>
      <c r="AA52" s="79"/>
      <c r="AB52" s="79"/>
      <c r="AC52" s="79"/>
      <c r="AD52" s="79"/>
      <c r="AE52" s="79"/>
      <c r="AF52" s="79"/>
      <c r="AG52" s="79"/>
      <c r="AH52" s="79"/>
      <c r="AI52" s="79"/>
      <c r="AJ52" s="79"/>
    </row>
    <row r="53" ht="15.0" customHeight="1">
      <c r="A53" s="79"/>
      <c r="B53" s="79"/>
      <c r="C53" s="80"/>
      <c r="D53" s="80"/>
      <c r="E53" s="61">
        <f>'Input Nilai'!E64</f>
        <v>52</v>
      </c>
      <c r="F53" s="61">
        <f>'Input Nilai'!F64</f>
        <v>1</v>
      </c>
      <c r="G53" s="61" t="str">
        <f t="shared" si="13"/>
        <v>1</v>
      </c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72"/>
      <c r="AA53" s="80"/>
      <c r="AB53" s="80"/>
      <c r="AC53" s="80"/>
      <c r="AD53" s="80"/>
      <c r="AE53" s="80"/>
      <c r="AF53" s="80"/>
      <c r="AG53" s="79"/>
      <c r="AH53" s="79"/>
      <c r="AI53" s="79"/>
      <c r="AJ53" s="80"/>
    </row>
    <row r="54" ht="15.0" customHeight="1">
      <c r="A54" s="79"/>
      <c r="B54" s="79"/>
      <c r="C54" s="55">
        <f>'Input Nilai'!C65</f>
        <v>14</v>
      </c>
      <c r="D54" s="58" t="str">
        <f>'Input Nilai'!D65</f>
        <v>Layanan Khusus (Difabel)</v>
      </c>
      <c r="E54" s="61">
        <f>'Input Nilai'!E65</f>
        <v>53</v>
      </c>
      <c r="F54" s="61">
        <f>'Input Nilai'!F65</f>
        <v>0</v>
      </c>
      <c r="G54" s="61" t="str">
        <f>IF(F54=1,"2",IF(F54=0,"1"))</f>
        <v>1</v>
      </c>
      <c r="H54" s="68">
        <f>((G54+G55+G56+G57)*5/5)</f>
        <v>2</v>
      </c>
      <c r="I54" s="69">
        <v>3.0</v>
      </c>
      <c r="J54" s="69">
        <v>3.0</v>
      </c>
      <c r="K54" s="69">
        <v>2.0</v>
      </c>
      <c r="L54" s="69">
        <v>4.0</v>
      </c>
      <c r="M54" s="69">
        <v>3.0</v>
      </c>
      <c r="N54" s="69">
        <v>4.0</v>
      </c>
      <c r="O54" s="69">
        <v>3.0</v>
      </c>
      <c r="P54" s="69">
        <v>4.0</v>
      </c>
      <c r="Q54" s="69">
        <v>3.0</v>
      </c>
      <c r="R54" s="69">
        <v>3.0</v>
      </c>
      <c r="S54" s="69">
        <v>4.0</v>
      </c>
      <c r="T54" s="69">
        <v>4.0</v>
      </c>
      <c r="U54" s="71">
        <v>3.0</v>
      </c>
      <c r="V54" s="69">
        <v>3.0</v>
      </c>
      <c r="W54" s="69">
        <v>3.0</v>
      </c>
      <c r="X54" s="69">
        <v>4.0</v>
      </c>
      <c r="Y54" s="69">
        <v>4.0</v>
      </c>
      <c r="Z54" s="72"/>
      <c r="AA54" s="73">
        <f>SUM(I54:Y56)/17</f>
        <v>3.352941176</v>
      </c>
      <c r="AB54" s="73">
        <f>1/14</f>
        <v>0.07142857143</v>
      </c>
      <c r="AC54" s="74">
        <f>IF(H54&lt;1,"0",H54)</f>
        <v>2</v>
      </c>
      <c r="AD54" s="75">
        <f>IF(AC54="",0,AC54)</f>
        <v>2</v>
      </c>
      <c r="AE54" s="75">
        <f>AB54/5</f>
        <v>0.01428571429</v>
      </c>
      <c r="AF54" s="75">
        <f>AD54*AE54</f>
        <v>0.02857142857</v>
      </c>
      <c r="AG54" s="79"/>
      <c r="AH54" s="79"/>
      <c r="AI54" s="79"/>
      <c r="AJ54" s="58" t="str">
        <f>IF(AF54=0,"-",
IF(H54=1,'Rekomendasi Aksi'!E54,
IF(H54=2,'Rekomendasi Aksi'!E54,
IF(H54=3,'Rekomendasi Aksi'!E55,
IF(H54=4,'Rekomendasi Aksi'!E56,
IF(H54=5,'Rekomendasi Aksi'!E57))))))</f>
        <v>Mengusulkan pembentukan lembaga, penyelenggaraan kegiatan dan penyusunan peraturan untuk layanan khusus difabel </v>
      </c>
    </row>
    <row r="55" ht="15.0" customHeight="1">
      <c r="A55" s="79"/>
      <c r="B55" s="79"/>
      <c r="C55" s="79"/>
      <c r="D55" s="79"/>
      <c r="E55" s="61">
        <f>'Input Nilai'!E66</f>
        <v>54</v>
      </c>
      <c r="F55" s="61">
        <f>'Input Nilai'!F66</f>
        <v>0</v>
      </c>
      <c r="G55" s="61" t="str">
        <f t="shared" ref="G55:G57" si="14">IF(F55&lt;1,"0",IF(F55=0,"0",IF(F55=1,"1")))</f>
        <v>0</v>
      </c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2"/>
      <c r="AA55" s="79"/>
      <c r="AB55" s="79"/>
      <c r="AC55" s="79"/>
      <c r="AD55" s="79"/>
      <c r="AE55" s="79"/>
      <c r="AF55" s="79"/>
      <c r="AG55" s="79"/>
      <c r="AH55" s="79"/>
      <c r="AI55" s="79"/>
      <c r="AJ55" s="79"/>
    </row>
    <row r="56" ht="15.0" customHeight="1">
      <c r="A56" s="79"/>
      <c r="B56" s="79"/>
      <c r="C56" s="79"/>
      <c r="D56" s="79"/>
      <c r="E56" s="61">
        <f>'Input Nilai'!E67</f>
        <v>55</v>
      </c>
      <c r="F56" s="61">
        <f>'Input Nilai'!F67</f>
        <v>0</v>
      </c>
      <c r="G56" s="61" t="str">
        <f t="shared" si="14"/>
        <v>0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2"/>
      <c r="AA56" s="79"/>
      <c r="AB56" s="79"/>
      <c r="AC56" s="79"/>
      <c r="AD56" s="79"/>
      <c r="AE56" s="79"/>
      <c r="AF56" s="79"/>
      <c r="AG56" s="79"/>
      <c r="AH56" s="79"/>
      <c r="AI56" s="79"/>
      <c r="AJ56" s="79"/>
    </row>
    <row r="57" ht="15.0" customHeight="1">
      <c r="A57" s="80"/>
      <c r="B57" s="80"/>
      <c r="C57" s="80"/>
      <c r="D57" s="80"/>
      <c r="E57" s="61">
        <f>'Input Nilai'!E68</f>
        <v>56</v>
      </c>
      <c r="F57" s="61">
        <f>'Input Nilai'!F68</f>
        <v>1</v>
      </c>
      <c r="G57" s="61" t="str">
        <f t="shared" si="14"/>
        <v>1</v>
      </c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72"/>
      <c r="AA57" s="80"/>
      <c r="AB57" s="80"/>
      <c r="AC57" s="80"/>
      <c r="AD57" s="80"/>
      <c r="AE57" s="80"/>
      <c r="AF57" s="80"/>
      <c r="AG57" s="80"/>
      <c r="AH57" s="80"/>
      <c r="AI57" s="79"/>
      <c r="AJ57" s="80"/>
    </row>
    <row r="58" ht="15.0" customHeight="1">
      <c r="A58" s="55">
        <v>2.0</v>
      </c>
      <c r="B58" s="58" t="str">
        <f>'Input Nilai'!B69</f>
        <v>PERATURAN DAN KEBIJAKAN PENANGGULANGAN BENCANA</v>
      </c>
      <c r="C58" s="127">
        <f>'Input Nilai'!C69</f>
        <v>15</v>
      </c>
      <c r="D58" s="58" t="str">
        <f>'Input Nilai'!D69</f>
        <v>Pengkajian Risiko Bencana</v>
      </c>
      <c r="E58" s="61">
        <f>'Input Nilai'!E69</f>
        <v>57</v>
      </c>
      <c r="F58" s="61">
        <f>'Input Nilai'!F69</f>
        <v>0</v>
      </c>
      <c r="G58" s="61" t="str">
        <f>IF(F58=1,"2",IF(F58=0,"1"))</f>
        <v>1</v>
      </c>
      <c r="H58" s="68">
        <f>((G58+G59+G60+G61)*5/5)</f>
        <v>1</v>
      </c>
      <c r="I58" s="69">
        <v>4.0</v>
      </c>
      <c r="J58" s="69">
        <v>4.0</v>
      </c>
      <c r="K58" s="69">
        <v>4.0</v>
      </c>
      <c r="L58" s="69">
        <v>4.0</v>
      </c>
      <c r="M58" s="69">
        <v>4.0</v>
      </c>
      <c r="N58" s="69">
        <v>4.0</v>
      </c>
      <c r="O58" s="69">
        <v>4.0</v>
      </c>
      <c r="P58" s="69">
        <v>4.0</v>
      </c>
      <c r="Q58" s="69">
        <v>4.0</v>
      </c>
      <c r="R58" s="69">
        <v>4.0</v>
      </c>
      <c r="S58" s="69">
        <v>4.0</v>
      </c>
      <c r="T58" s="69">
        <v>4.0</v>
      </c>
      <c r="U58" s="71">
        <v>3.0</v>
      </c>
      <c r="V58" s="69">
        <v>4.0</v>
      </c>
      <c r="W58" s="69">
        <v>4.0</v>
      </c>
      <c r="X58" s="69">
        <v>4.0</v>
      </c>
      <c r="Y58" s="69">
        <v>4.0</v>
      </c>
      <c r="Z58" s="72"/>
      <c r="AA58" s="73">
        <f>SUM(I58:Y60)/17</f>
        <v>3.941176471</v>
      </c>
      <c r="AB58" s="73">
        <f>1/5</f>
        <v>0.2</v>
      </c>
      <c r="AC58" s="74">
        <f>IF(H58&lt;1,"0",H58)</f>
        <v>1</v>
      </c>
      <c r="AD58" s="75">
        <f>IF(AC58="",0,AC58)</f>
        <v>1</v>
      </c>
      <c r="AE58" s="75">
        <f>AB58/5</f>
        <v>0.04</v>
      </c>
      <c r="AF58" s="75">
        <f>AD58*AE58</f>
        <v>0.04</v>
      </c>
      <c r="AG58" s="130">
        <f>SUM(AF58:AF77)</f>
        <v>0.52</v>
      </c>
      <c r="AH58" s="74">
        <v>20.0</v>
      </c>
      <c r="AI58" s="79"/>
      <c r="AJ58" s="58" t="str">
        <f>IF(AF58=0,"-",
IF(H58=1,'Rekomendasi Aksi'!E58,
IF(H58=2,'Rekomendasi Aksi'!E58,
IF(H58=3,'Rekomendasi Aksi'!E59,
IF(H58=4,'Rekomendasi Aksi'!E60,
IF(H58=5,'Rekomendasi Aksi'!E61))))))</f>
        <v>Mengusulkan pengkajian risiko bencana melalui mekanisme Musrenbang Desa/Kelurahan.</v>
      </c>
    </row>
    <row r="59" ht="15.0" customHeight="1">
      <c r="A59" s="79"/>
      <c r="B59" s="79"/>
      <c r="C59" s="79"/>
      <c r="D59" s="79"/>
      <c r="E59" s="61">
        <f>'Input Nilai'!E70</f>
        <v>58</v>
      </c>
      <c r="F59" s="61">
        <f>'Input Nilai'!F70</f>
        <v>0</v>
      </c>
      <c r="G59" s="61" t="str">
        <f t="shared" ref="G59:G61" si="15">IF(F59&lt;1,"0",IF(F59=0,"0",IF(F59=1,"1")))</f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2"/>
      <c r="AA59" s="79"/>
      <c r="AB59" s="79"/>
      <c r="AC59" s="79"/>
      <c r="AD59" s="79"/>
      <c r="AE59" s="79"/>
      <c r="AF59" s="79"/>
      <c r="AG59" s="79"/>
      <c r="AH59" s="79"/>
      <c r="AI59" s="79"/>
      <c r="AJ59" s="79"/>
    </row>
    <row r="60" ht="15.0" customHeight="1">
      <c r="A60" s="79"/>
      <c r="B60" s="79"/>
      <c r="C60" s="79"/>
      <c r="D60" s="79"/>
      <c r="E60" s="61">
        <f>'Input Nilai'!E71</f>
        <v>59</v>
      </c>
      <c r="F60" s="61">
        <f>'Input Nilai'!F71</f>
        <v>0</v>
      </c>
      <c r="G60" s="61" t="str">
        <f t="shared" si="15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2"/>
      <c r="AA60" s="79"/>
      <c r="AB60" s="79"/>
      <c r="AC60" s="79"/>
      <c r="AD60" s="79"/>
      <c r="AE60" s="79"/>
      <c r="AF60" s="79"/>
      <c r="AG60" s="79"/>
      <c r="AH60" s="79"/>
      <c r="AI60" s="79"/>
      <c r="AJ60" s="79"/>
    </row>
    <row r="61" ht="15.0" customHeight="1">
      <c r="A61" s="79"/>
      <c r="B61" s="79"/>
      <c r="C61" s="80"/>
      <c r="D61" s="80"/>
      <c r="E61" s="61">
        <f>'Input Nilai'!E72</f>
        <v>60</v>
      </c>
      <c r="F61" s="61">
        <f>'Input Nilai'!F72</f>
        <v>0</v>
      </c>
      <c r="G61" s="61" t="str">
        <f t="shared" si="15"/>
        <v>0</v>
      </c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72"/>
      <c r="AA61" s="80"/>
      <c r="AB61" s="80"/>
      <c r="AC61" s="80"/>
      <c r="AD61" s="80"/>
      <c r="AE61" s="80"/>
      <c r="AF61" s="80"/>
      <c r="AG61" s="79"/>
      <c r="AH61" s="79"/>
      <c r="AI61" s="79"/>
      <c r="AJ61" s="80"/>
    </row>
    <row r="62" ht="15.0" customHeight="1">
      <c r="A62" s="79"/>
      <c r="B62" s="79"/>
      <c r="C62" s="127">
        <f>'Input Nilai'!C73</f>
        <v>16</v>
      </c>
      <c r="D62" s="58" t="str">
        <f>'Input Nilai'!D73</f>
        <v>Rencana Penanggulangan Bencana</v>
      </c>
      <c r="E62" s="61">
        <f>'Input Nilai'!E73</f>
        <v>61</v>
      </c>
      <c r="F62" s="61">
        <f>'Input Nilai'!F73</f>
        <v>1</v>
      </c>
      <c r="G62" s="61" t="str">
        <f>IF(F62=1,"2",IF(F62=0,"1"))</f>
        <v>2</v>
      </c>
      <c r="H62" s="68">
        <f>((G62+G63+G64+G65)*5/5)</f>
        <v>5</v>
      </c>
      <c r="I62" s="69">
        <v>3.0</v>
      </c>
      <c r="J62" s="69">
        <v>3.0</v>
      </c>
      <c r="K62" s="69">
        <v>4.0</v>
      </c>
      <c r="L62" s="69">
        <v>4.0</v>
      </c>
      <c r="M62" s="69">
        <v>3.0</v>
      </c>
      <c r="N62" s="69">
        <v>4.0</v>
      </c>
      <c r="O62" s="69">
        <v>4.0</v>
      </c>
      <c r="P62" s="69">
        <v>3.0</v>
      </c>
      <c r="Q62" s="69">
        <v>4.0</v>
      </c>
      <c r="R62" s="69">
        <v>4.0</v>
      </c>
      <c r="S62" s="69">
        <v>4.0</v>
      </c>
      <c r="T62" s="69">
        <v>4.0</v>
      </c>
      <c r="U62" s="71">
        <v>4.0</v>
      </c>
      <c r="V62" s="69">
        <v>3.0</v>
      </c>
      <c r="W62" s="69">
        <v>4.0</v>
      </c>
      <c r="X62" s="69">
        <v>4.0</v>
      </c>
      <c r="Y62" s="69">
        <v>4.0</v>
      </c>
      <c r="Z62" s="72"/>
      <c r="AA62" s="73">
        <f>SUM(I62:Y64)/17</f>
        <v>3.705882353</v>
      </c>
      <c r="AB62" s="73">
        <f>1/5</f>
        <v>0.2</v>
      </c>
      <c r="AC62" s="74">
        <f>IF(H62&lt;1,"0",H62)</f>
        <v>5</v>
      </c>
      <c r="AD62" s="75">
        <f>IF(AC62="",0,AC62)</f>
        <v>5</v>
      </c>
      <c r="AE62" s="75">
        <f>AB62/5</f>
        <v>0.04</v>
      </c>
      <c r="AF62" s="75">
        <f>AD62*AE62</f>
        <v>0.2</v>
      </c>
      <c r="AG62" s="79"/>
      <c r="AH62" s="79"/>
      <c r="AI62" s="79"/>
      <c r="AJ62" s="58" t="str">
        <f>IF(AF62=0,"-",
IF(H62=1,'Rekomendasi Aksi'!E62,
IF(H62=2,'Rekomendasi Aksi'!E62,
IF(H62=3,'Rekomendasi Aksi'!E63,
IF(H62=4,'Rekomendasi Aksi'!E64,
IF(H62=5,'Rekomendasi Aksi'!E65))))))</f>
        <v>Melakukan kerjasama dengan pihak lain untuk penyusunan dokumen RPB.</v>
      </c>
    </row>
    <row r="63" ht="15.0" customHeight="1">
      <c r="A63" s="79"/>
      <c r="B63" s="79"/>
      <c r="C63" s="79"/>
      <c r="D63" s="79"/>
      <c r="E63" s="61">
        <f>'Input Nilai'!E74</f>
        <v>62</v>
      </c>
      <c r="F63" s="61">
        <f>'Input Nilai'!F74</f>
        <v>1</v>
      </c>
      <c r="G63" s="61" t="str">
        <f t="shared" ref="G63:G65" si="16">IF(F63&lt;1,"0",IF(F63=0,"0",IF(F63=1,"1")))</f>
        <v>1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2"/>
      <c r="AA63" s="79"/>
      <c r="AB63" s="79"/>
      <c r="AC63" s="79"/>
      <c r="AD63" s="79"/>
      <c r="AE63" s="79"/>
      <c r="AF63" s="79"/>
      <c r="AG63" s="79"/>
      <c r="AH63" s="79"/>
      <c r="AI63" s="79"/>
      <c r="AJ63" s="79"/>
    </row>
    <row r="64" ht="15.0" customHeight="1">
      <c r="A64" s="79"/>
      <c r="B64" s="79"/>
      <c r="C64" s="79"/>
      <c r="D64" s="79"/>
      <c r="E64" s="61">
        <f>'Input Nilai'!E75</f>
        <v>63</v>
      </c>
      <c r="F64" s="61">
        <f>'Input Nilai'!F75</f>
        <v>1</v>
      </c>
      <c r="G64" s="61" t="str">
        <f t="shared" si="16"/>
        <v>1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2"/>
      <c r="AA64" s="79"/>
      <c r="AB64" s="79"/>
      <c r="AC64" s="79"/>
      <c r="AD64" s="79"/>
      <c r="AE64" s="79"/>
      <c r="AF64" s="79"/>
      <c r="AG64" s="79"/>
      <c r="AH64" s="79"/>
      <c r="AI64" s="79"/>
      <c r="AJ64" s="79"/>
    </row>
    <row r="65" ht="15.0" customHeight="1">
      <c r="A65" s="79"/>
      <c r="B65" s="79"/>
      <c r="C65" s="80"/>
      <c r="D65" s="80"/>
      <c r="E65" s="61">
        <f>'Input Nilai'!E76</f>
        <v>64</v>
      </c>
      <c r="F65" s="61">
        <f>'Input Nilai'!F76</f>
        <v>1</v>
      </c>
      <c r="G65" s="61" t="str">
        <f t="shared" si="16"/>
        <v>1</v>
      </c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72"/>
      <c r="AA65" s="80"/>
      <c r="AB65" s="80"/>
      <c r="AC65" s="80"/>
      <c r="AD65" s="80"/>
      <c r="AE65" s="80"/>
      <c r="AF65" s="80"/>
      <c r="AG65" s="79"/>
      <c r="AH65" s="79"/>
      <c r="AI65" s="79"/>
      <c r="AJ65" s="80"/>
    </row>
    <row r="66" ht="15.0" customHeight="1">
      <c r="A66" s="79"/>
      <c r="B66" s="79"/>
      <c r="C66" s="55">
        <f>'Input Nilai'!C77</f>
        <v>17</v>
      </c>
      <c r="D66" s="58" t="str">
        <f>'Input Nilai'!D77</f>
        <v>Pelatihan Penanggulangan Bencana</v>
      </c>
      <c r="E66" s="61">
        <f>'Input Nilai'!E77</f>
        <v>65</v>
      </c>
      <c r="F66" s="61">
        <f>'Input Nilai'!F77</f>
        <v>1</v>
      </c>
      <c r="G66" s="61" t="str">
        <f>IF(F66=1,"2",IF(F66=0,"1"))</f>
        <v>2</v>
      </c>
      <c r="H66" s="68">
        <f>((G66+G67+G68+G69)*5/5)</f>
        <v>5</v>
      </c>
      <c r="I66" s="69">
        <v>4.0</v>
      </c>
      <c r="J66" s="69">
        <v>4.0</v>
      </c>
      <c r="K66" s="69">
        <v>2.0</v>
      </c>
      <c r="L66" s="69">
        <v>4.0</v>
      </c>
      <c r="M66" s="69">
        <v>4.0</v>
      </c>
      <c r="N66" s="69">
        <v>3.0</v>
      </c>
      <c r="O66" s="69">
        <v>4.0</v>
      </c>
      <c r="P66" s="69">
        <v>3.0</v>
      </c>
      <c r="Q66" s="69">
        <v>4.0</v>
      </c>
      <c r="R66" s="69">
        <v>4.0</v>
      </c>
      <c r="S66" s="69">
        <v>4.0</v>
      </c>
      <c r="T66" s="69">
        <v>4.0</v>
      </c>
      <c r="U66" s="71">
        <v>3.0</v>
      </c>
      <c r="V66" s="69">
        <v>4.0</v>
      </c>
      <c r="W66" s="69">
        <v>3.0</v>
      </c>
      <c r="X66" s="69">
        <v>4.0</v>
      </c>
      <c r="Y66" s="69">
        <v>4.0</v>
      </c>
      <c r="Z66" s="72"/>
      <c r="AA66" s="73">
        <f>SUM(I66:Y68)/17</f>
        <v>3.647058824</v>
      </c>
      <c r="AB66" s="73">
        <f>1/5</f>
        <v>0.2</v>
      </c>
      <c r="AC66" s="74">
        <f>IF(H66&lt;1,"0",H66)</f>
        <v>5</v>
      </c>
      <c r="AD66" s="75">
        <f>IF(AC66="",0,AC66)</f>
        <v>5</v>
      </c>
      <c r="AE66" s="75">
        <f>AB66/5</f>
        <v>0.04</v>
      </c>
      <c r="AF66" s="75">
        <f>AD66*AE66</f>
        <v>0.2</v>
      </c>
      <c r="AG66" s="79"/>
      <c r="AH66" s="79"/>
      <c r="AI66" s="79"/>
      <c r="AJ66" s="58" t="str">
        <f>IF(AF66=0,"-",
IF(H66=1,'Rekomendasi Aksi'!E66,
IF(H66=2,'Rekomendasi Aksi'!E66,
IF(H66=3,'Rekomendasi Aksi'!E67,
IF(H66=4,'Rekomendasi Aksi'!E68,
IF(H66=5,'Rekomendasi Aksi'!E69))))))</f>
        <v>Menjalin kerjasama penyelenggaraan pelatihan penanggulangan bencana dengan pihak-pihak lain.</v>
      </c>
    </row>
    <row r="67" ht="15.0" customHeight="1">
      <c r="A67" s="79"/>
      <c r="B67" s="79"/>
      <c r="C67" s="79"/>
      <c r="D67" s="79"/>
      <c r="E67" s="61">
        <f>'Input Nilai'!E78</f>
        <v>66</v>
      </c>
      <c r="F67" s="61">
        <f>'Input Nilai'!F78</f>
        <v>1</v>
      </c>
      <c r="G67" s="61" t="str">
        <f t="shared" ref="G67:G69" si="17">IF(F67&lt;1,"0",IF(F67=0,"0",IF(F67=1,"1")))</f>
        <v>1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2"/>
      <c r="AA67" s="79"/>
      <c r="AB67" s="79"/>
      <c r="AC67" s="79"/>
      <c r="AD67" s="79"/>
      <c r="AE67" s="79"/>
      <c r="AF67" s="79"/>
      <c r="AG67" s="79"/>
      <c r="AH67" s="79"/>
      <c r="AI67" s="79"/>
      <c r="AJ67" s="79"/>
    </row>
    <row r="68" ht="15.0" customHeight="1">
      <c r="A68" s="79"/>
      <c r="B68" s="79"/>
      <c r="C68" s="79"/>
      <c r="D68" s="79"/>
      <c r="E68" s="61">
        <f>'Input Nilai'!E79</f>
        <v>67</v>
      </c>
      <c r="F68" s="61">
        <f>'Input Nilai'!F79</f>
        <v>1</v>
      </c>
      <c r="G68" s="61" t="str">
        <f t="shared" si="17"/>
        <v>1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2"/>
      <c r="AA68" s="79"/>
      <c r="AB68" s="79"/>
      <c r="AC68" s="79"/>
      <c r="AD68" s="79"/>
      <c r="AE68" s="79"/>
      <c r="AF68" s="79"/>
      <c r="AG68" s="79"/>
      <c r="AH68" s="79"/>
      <c r="AI68" s="79"/>
      <c r="AJ68" s="79"/>
    </row>
    <row r="69" ht="15.0" customHeight="1">
      <c r="A69" s="79"/>
      <c r="B69" s="79"/>
      <c r="C69" s="80"/>
      <c r="D69" s="80"/>
      <c r="E69" s="61">
        <f>'Input Nilai'!E80</f>
        <v>68</v>
      </c>
      <c r="F69" s="61">
        <f>'Input Nilai'!F80</f>
        <v>1</v>
      </c>
      <c r="G69" s="61" t="str">
        <f t="shared" si="17"/>
        <v>1</v>
      </c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72"/>
      <c r="AA69" s="80"/>
      <c r="AB69" s="80"/>
      <c r="AC69" s="80"/>
      <c r="AD69" s="80"/>
      <c r="AE69" s="80"/>
      <c r="AF69" s="80"/>
      <c r="AG69" s="79"/>
      <c r="AH69" s="79"/>
      <c r="AI69" s="79"/>
      <c r="AJ69" s="80"/>
    </row>
    <row r="70" ht="15.0" customHeight="1">
      <c r="A70" s="79"/>
      <c r="B70" s="79"/>
      <c r="C70" s="55">
        <f>'Input Nilai'!C81</f>
        <v>18</v>
      </c>
      <c r="D70" s="58" t="str">
        <f>'Input Nilai'!D81</f>
        <v>Kelembagaan PB (Kelompok/Organisasi Penanggulangan Bencana)</v>
      </c>
      <c r="E70" s="61">
        <f>'Input Nilai'!E81</f>
        <v>69</v>
      </c>
      <c r="F70" s="61">
        <f>'Input Nilai'!F81</f>
        <v>0</v>
      </c>
      <c r="G70" s="61" t="str">
        <f>IF(F70=1,"2",IF(F70=0,"1"))</f>
        <v>1</v>
      </c>
      <c r="H70" s="68">
        <f>((G70+G71+G72+G73)*5/5)</f>
        <v>1</v>
      </c>
      <c r="I70" s="69">
        <v>4.0</v>
      </c>
      <c r="J70" s="69">
        <v>3.0</v>
      </c>
      <c r="K70" s="69">
        <v>2.0</v>
      </c>
      <c r="L70" s="69">
        <v>4.0</v>
      </c>
      <c r="M70" s="69">
        <v>3.0</v>
      </c>
      <c r="N70" s="69">
        <v>3.0</v>
      </c>
      <c r="O70" s="69">
        <v>3.0</v>
      </c>
      <c r="P70" s="69">
        <v>3.0</v>
      </c>
      <c r="Q70" s="69">
        <v>4.0</v>
      </c>
      <c r="R70" s="69">
        <v>4.0</v>
      </c>
      <c r="S70" s="69">
        <v>4.0</v>
      </c>
      <c r="T70" s="69">
        <v>4.0</v>
      </c>
      <c r="U70" s="71">
        <v>3.0</v>
      </c>
      <c r="V70" s="69">
        <v>4.0</v>
      </c>
      <c r="W70" s="69">
        <v>4.0</v>
      </c>
      <c r="X70" s="69">
        <v>4.0</v>
      </c>
      <c r="Y70" s="69">
        <v>4.0</v>
      </c>
      <c r="Z70" s="72"/>
      <c r="AA70" s="73">
        <f>SUM(I70:Y72)/17</f>
        <v>3.529411765</v>
      </c>
      <c r="AB70" s="73">
        <f>1/5</f>
        <v>0.2</v>
      </c>
      <c r="AC70" s="74">
        <f>IF(H70&lt;1,"0",H70)</f>
        <v>1</v>
      </c>
      <c r="AD70" s="75">
        <f>IF(AC70="",0,AC70)</f>
        <v>1</v>
      </c>
      <c r="AE70" s="75">
        <f>AB70/5</f>
        <v>0.04</v>
      </c>
      <c r="AF70" s="75">
        <f>AD70*AE70</f>
        <v>0.04</v>
      </c>
      <c r="AG70" s="79"/>
      <c r="AH70" s="79"/>
      <c r="AI70" s="79"/>
      <c r="AJ70" s="58" t="str">
        <f>IF(AF70=0,"-",
IF(H70=1,'Rekomendasi Aksi'!E70,
IF(H70=2,'Rekomendasi Aksi'!E70,
IF(H70=3,'Rekomendasi Aksi'!E71,
IF(H70=4,'Rekomendasi Aksi'!E72,
IF(H70=5,'Rekomendasi Aksi'!E73))))))</f>
        <v>Mengusulkan pembentukan organisasi/kelompok Penanggulangan Bencana Desa melalui Musrenbang</v>
      </c>
    </row>
    <row r="71" ht="15.0" customHeight="1">
      <c r="A71" s="79"/>
      <c r="B71" s="79"/>
      <c r="C71" s="79"/>
      <c r="D71" s="79"/>
      <c r="E71" s="61">
        <f>'Input Nilai'!E82</f>
        <v>70</v>
      </c>
      <c r="F71" s="61">
        <f>'Input Nilai'!F82</f>
        <v>0</v>
      </c>
      <c r="G71" s="61" t="str">
        <f t="shared" ref="G71:G73" si="18">IF(F71&lt;1,"0",IF(F71=0,"0",IF(F71=1,"1")))</f>
        <v>0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2"/>
      <c r="AA71" s="79"/>
      <c r="AB71" s="79"/>
      <c r="AC71" s="79"/>
      <c r="AD71" s="79"/>
      <c r="AE71" s="79"/>
      <c r="AF71" s="79"/>
      <c r="AG71" s="79"/>
      <c r="AH71" s="79"/>
      <c r="AI71" s="79"/>
      <c r="AJ71" s="79"/>
    </row>
    <row r="72" ht="15.0" customHeight="1">
      <c r="A72" s="79"/>
      <c r="B72" s="79"/>
      <c r="C72" s="79"/>
      <c r="D72" s="79"/>
      <c r="E72" s="61">
        <f>'Input Nilai'!E83</f>
        <v>71</v>
      </c>
      <c r="F72" s="61">
        <f>'Input Nilai'!F83</f>
        <v>0</v>
      </c>
      <c r="G72" s="61" t="str">
        <f t="shared" si="18"/>
        <v>0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2"/>
      <c r="AA72" s="79"/>
      <c r="AB72" s="79"/>
      <c r="AC72" s="79"/>
      <c r="AD72" s="79"/>
      <c r="AE72" s="79"/>
      <c r="AF72" s="79"/>
      <c r="AG72" s="79"/>
      <c r="AH72" s="79"/>
      <c r="AI72" s="79"/>
      <c r="AJ72" s="79"/>
    </row>
    <row r="73" ht="15.0" customHeight="1">
      <c r="A73" s="79"/>
      <c r="B73" s="79"/>
      <c r="C73" s="80"/>
      <c r="D73" s="80"/>
      <c r="E73" s="61">
        <f>'Input Nilai'!E84</f>
        <v>72</v>
      </c>
      <c r="F73" s="61">
        <f>'Input Nilai'!F84</f>
        <v>0</v>
      </c>
      <c r="G73" s="61" t="str">
        <f t="shared" si="18"/>
        <v>0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72"/>
      <c r="AA73" s="80"/>
      <c r="AB73" s="80"/>
      <c r="AC73" s="80"/>
      <c r="AD73" s="80"/>
      <c r="AE73" s="80"/>
      <c r="AF73" s="80"/>
      <c r="AG73" s="79"/>
      <c r="AH73" s="79"/>
      <c r="AI73" s="79"/>
      <c r="AJ73" s="80"/>
    </row>
    <row r="74" ht="15.0" customHeight="1">
      <c r="A74" s="79"/>
      <c r="B74" s="79"/>
      <c r="C74" s="55">
        <f>'Input Nilai'!C85</f>
        <v>19</v>
      </c>
      <c r="D74" s="58" t="str">
        <f>'Input Nilai'!D85</f>
        <v>Bantuan/Kerjasama Pelaksanaan Kegiatan Penanggulangan Bencana</v>
      </c>
      <c r="E74" s="61">
        <f>'Input Nilai'!E85</f>
        <v>73</v>
      </c>
      <c r="F74" s="61">
        <f>'Input Nilai'!F85</f>
        <v>0</v>
      </c>
      <c r="G74" s="61" t="str">
        <f>IF(F74=1,"2",IF(F74=0,"1"))</f>
        <v>1</v>
      </c>
      <c r="H74" s="68">
        <f>((G74+G75+G76+G77)*5/5)</f>
        <v>1</v>
      </c>
      <c r="I74" s="69">
        <v>3.0</v>
      </c>
      <c r="J74" s="69">
        <v>2.0</v>
      </c>
      <c r="K74" s="69">
        <v>2.0</v>
      </c>
      <c r="L74" s="69">
        <v>2.0</v>
      </c>
      <c r="M74" s="69">
        <v>2.0</v>
      </c>
      <c r="N74" s="69">
        <v>2.0</v>
      </c>
      <c r="O74" s="69">
        <v>4.0</v>
      </c>
      <c r="P74" s="69">
        <v>3.0</v>
      </c>
      <c r="Q74" s="69">
        <v>3.0</v>
      </c>
      <c r="R74" s="69">
        <v>3.0</v>
      </c>
      <c r="S74" s="69">
        <v>4.0</v>
      </c>
      <c r="T74" s="69">
        <v>4.0</v>
      </c>
      <c r="U74" s="71">
        <v>2.0</v>
      </c>
      <c r="V74" s="69">
        <v>3.0</v>
      </c>
      <c r="W74" s="69">
        <v>3.0</v>
      </c>
      <c r="X74" s="69">
        <v>3.0</v>
      </c>
      <c r="Y74" s="69">
        <v>3.0</v>
      </c>
      <c r="Z74" s="72"/>
      <c r="AA74" s="73">
        <f>SUM(I74:Y76)/17</f>
        <v>2.823529412</v>
      </c>
      <c r="AB74" s="73">
        <f>1/5</f>
        <v>0.2</v>
      </c>
      <c r="AC74" s="74">
        <f>IF(H74&lt;1,"0",H74)</f>
        <v>1</v>
      </c>
      <c r="AD74" s="75">
        <f>IF(AC74="",0,AC74)</f>
        <v>1</v>
      </c>
      <c r="AE74" s="75">
        <f>AB74/5</f>
        <v>0.04</v>
      </c>
      <c r="AF74" s="75">
        <f>AD74*AE74</f>
        <v>0.04</v>
      </c>
      <c r="AG74" s="79"/>
      <c r="AH74" s="79"/>
      <c r="AI74" s="79"/>
      <c r="AJ74" s="58" t="str">
        <f>IF(AF74=0,"-",
IF(H74=1,'Rekomendasi Aksi'!E74,
IF(H74=2,'Rekomendasi Aksi'!E74,
IF(H74=3,'Rekomendasi Aksi'!E75,
IF(H74=4,'Rekomendasi Aksi'!E76,
IF(H74=5,'Rekomendasi Aksi'!E77))))))</f>
        <v>Mengusulkan ada Standart Operasional Prosedure atau sejenisnya mengenai kerjasama dengan pihak luar dalam pelaksanaan kegiatan penanggulangan bencana</v>
      </c>
    </row>
    <row r="75" ht="15.0" customHeight="1">
      <c r="A75" s="79"/>
      <c r="B75" s="79"/>
      <c r="C75" s="79"/>
      <c r="D75" s="79"/>
      <c r="E75" s="61">
        <f>'Input Nilai'!E86</f>
        <v>74</v>
      </c>
      <c r="F75" s="61">
        <f>'Input Nilai'!F86</f>
        <v>0</v>
      </c>
      <c r="G75" s="61" t="str">
        <f t="shared" ref="G75:G77" si="19">IF(F75&lt;1,"0",IF(F75=0,"0",IF(F75=1,"1")))</f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2"/>
      <c r="AA75" s="79"/>
      <c r="AB75" s="79"/>
      <c r="AC75" s="79"/>
      <c r="AD75" s="79"/>
      <c r="AE75" s="79"/>
      <c r="AF75" s="79"/>
      <c r="AG75" s="79"/>
      <c r="AH75" s="79"/>
      <c r="AI75" s="79"/>
      <c r="AJ75" s="79"/>
    </row>
    <row r="76" ht="15.0" customHeight="1">
      <c r="A76" s="79"/>
      <c r="B76" s="79"/>
      <c r="C76" s="79"/>
      <c r="D76" s="79"/>
      <c r="E76" s="61">
        <f>'Input Nilai'!E87</f>
        <v>75</v>
      </c>
      <c r="F76" s="61">
        <f>'Input Nilai'!F87</f>
        <v>0</v>
      </c>
      <c r="G76" s="61" t="str">
        <f t="shared" si="19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2"/>
      <c r="AA76" s="79"/>
      <c r="AB76" s="79"/>
      <c r="AC76" s="79"/>
      <c r="AD76" s="79"/>
      <c r="AE76" s="79"/>
      <c r="AF76" s="79"/>
      <c r="AG76" s="79"/>
      <c r="AH76" s="79"/>
      <c r="AI76" s="79"/>
      <c r="AJ76" s="79"/>
    </row>
    <row r="77" ht="15.0" customHeight="1">
      <c r="A77" s="80"/>
      <c r="B77" s="80"/>
      <c r="C77" s="80"/>
      <c r="D77" s="80"/>
      <c r="E77" s="61">
        <f>'Input Nilai'!E88</f>
        <v>76</v>
      </c>
      <c r="F77" s="61">
        <f>'Input Nilai'!F88</f>
        <v>0</v>
      </c>
      <c r="G77" s="61" t="str">
        <f t="shared" si="19"/>
        <v>0</v>
      </c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72"/>
      <c r="AA77" s="80"/>
      <c r="AB77" s="80"/>
      <c r="AC77" s="80"/>
      <c r="AD77" s="80"/>
      <c r="AE77" s="80"/>
      <c r="AF77" s="80"/>
      <c r="AG77" s="80"/>
      <c r="AH77" s="80"/>
      <c r="AI77" s="79"/>
      <c r="AJ77" s="80"/>
    </row>
    <row r="78" ht="15.0" customHeight="1">
      <c r="A78" s="135">
        <v>3.0</v>
      </c>
      <c r="B78" s="58" t="str">
        <f>'Input Nilai'!B89</f>
        <v>PENCEGAHAN DAN MITIGASI</v>
      </c>
      <c r="C78" s="55">
        <f>'Input Nilai'!C89</f>
        <v>20</v>
      </c>
      <c r="D78" s="58" t="str">
        <f>'Input Nilai'!D89</f>
        <v>Pencegahan Bencana</v>
      </c>
      <c r="E78" s="61">
        <f>'Input Nilai'!E89</f>
        <v>77</v>
      </c>
      <c r="F78" s="61">
        <f>'Input Nilai'!F89</f>
        <v>1</v>
      </c>
      <c r="G78" s="61" t="str">
        <f>IF(F78=1,"2",IF(F78=0,"1"))</f>
        <v>2</v>
      </c>
      <c r="H78" s="68">
        <f>((G78+G79+G80+G81)*5/5)</f>
        <v>5</v>
      </c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136"/>
      <c r="V78" s="72"/>
      <c r="W78" s="72"/>
      <c r="X78" s="72"/>
      <c r="Y78" s="72"/>
      <c r="Z78" s="72"/>
      <c r="AA78" s="137"/>
      <c r="AB78" s="73">
        <f>1/3</f>
        <v>0.3333333333</v>
      </c>
      <c r="AC78" s="74">
        <f>IF(H78&lt;1,"0",H78)</f>
        <v>5</v>
      </c>
      <c r="AD78" s="75">
        <f>IF(AC78="",0,AC78)</f>
        <v>5</v>
      </c>
      <c r="AE78" s="75">
        <f>AB78/5</f>
        <v>0.06666666667</v>
      </c>
      <c r="AF78" s="75">
        <f>AD78*AE78</f>
        <v>0.3333333333</v>
      </c>
      <c r="AG78" s="130">
        <f>SUM(AF78:AF89)</f>
        <v>0.4666666667</v>
      </c>
      <c r="AH78" s="74">
        <v>20.0</v>
      </c>
      <c r="AI78" s="79"/>
      <c r="AJ78" s="58" t="str">
        <f>IF(AF78=0,"-",
IF(H78=1,'Rekomendasi Aksi'!E78,
IF(H78=2,'Rekomendasi Aksi'!E78,
IF(H78=3,'Rekomendasi Aksi'!E79,
IF(H78=4,'Rekomendasi Aksi'!E80,
IF(H78=5,'Rekomendasi Aksi'!E81))))))</f>
        <v>Melakukan kerjasama dengan pihak lain dalam melakukan kegiatan pencegahan bencana.</v>
      </c>
    </row>
    <row r="79" ht="15.0" customHeight="1">
      <c r="A79" s="79"/>
      <c r="B79" s="79"/>
      <c r="C79" s="79"/>
      <c r="D79" s="79"/>
      <c r="E79" s="61">
        <f>'Input Nilai'!E90</f>
        <v>78</v>
      </c>
      <c r="F79" s="61">
        <f>'Input Nilai'!F90</f>
        <v>1</v>
      </c>
      <c r="G79" s="61" t="str">
        <f t="shared" ref="G79:G81" si="20">IF(F79&lt;1,"0",IF(F79=0,"0",IF(F79=1,"1")))</f>
        <v>1</v>
      </c>
      <c r="H79" s="79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136"/>
      <c r="V79" s="72"/>
      <c r="W79" s="72"/>
      <c r="X79" s="72"/>
      <c r="Y79" s="72"/>
      <c r="Z79" s="72"/>
      <c r="AA79" s="137"/>
      <c r="AB79" s="79"/>
      <c r="AC79" s="79"/>
      <c r="AD79" s="79"/>
      <c r="AE79" s="79"/>
      <c r="AF79" s="79"/>
      <c r="AG79" s="79"/>
      <c r="AH79" s="79"/>
      <c r="AI79" s="79"/>
      <c r="AJ79" s="79"/>
    </row>
    <row r="80" ht="15.0" customHeight="1">
      <c r="A80" s="79"/>
      <c r="B80" s="79"/>
      <c r="C80" s="79"/>
      <c r="D80" s="79"/>
      <c r="E80" s="61">
        <f>'Input Nilai'!E91</f>
        <v>79</v>
      </c>
      <c r="F80" s="61">
        <f>'Input Nilai'!F91</f>
        <v>1</v>
      </c>
      <c r="G80" s="61" t="str">
        <f t="shared" si="20"/>
        <v>1</v>
      </c>
      <c r="H80" s="79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136"/>
      <c r="V80" s="72"/>
      <c r="W80" s="72"/>
      <c r="X80" s="72"/>
      <c r="Y80" s="72"/>
      <c r="Z80" s="72"/>
      <c r="AA80" s="137"/>
      <c r="AB80" s="79"/>
      <c r="AC80" s="79"/>
      <c r="AD80" s="79"/>
      <c r="AE80" s="79"/>
      <c r="AF80" s="79"/>
      <c r="AG80" s="79"/>
      <c r="AH80" s="79"/>
      <c r="AI80" s="79"/>
      <c r="AJ80" s="79"/>
    </row>
    <row r="81" ht="15.0" customHeight="1">
      <c r="A81" s="79"/>
      <c r="B81" s="79"/>
      <c r="C81" s="80"/>
      <c r="D81" s="80"/>
      <c r="E81" s="61">
        <f>'Input Nilai'!E92</f>
        <v>80</v>
      </c>
      <c r="F81" s="61">
        <f>'Input Nilai'!F92</f>
        <v>1</v>
      </c>
      <c r="G81" s="61" t="str">
        <f t="shared" si="20"/>
        <v>1</v>
      </c>
      <c r="H81" s="80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136"/>
      <c r="V81" s="72"/>
      <c r="W81" s="72"/>
      <c r="X81" s="72"/>
      <c r="Y81" s="72"/>
      <c r="Z81" s="72"/>
      <c r="AA81" s="137"/>
      <c r="AB81" s="80"/>
      <c r="AC81" s="80"/>
      <c r="AD81" s="80"/>
      <c r="AE81" s="80"/>
      <c r="AF81" s="80"/>
      <c r="AG81" s="79"/>
      <c r="AH81" s="79"/>
      <c r="AI81" s="79"/>
      <c r="AJ81" s="80"/>
    </row>
    <row r="82" ht="15.0" customHeight="1">
      <c r="A82" s="79"/>
      <c r="B82" s="79"/>
      <c r="C82" s="55">
        <f>'Input Nilai'!C93</f>
        <v>21</v>
      </c>
      <c r="D82" s="58" t="str">
        <f>'Input Nilai'!D93</f>
        <v>Mitigasi Bencana</v>
      </c>
      <c r="E82" s="61">
        <f>'Input Nilai'!E93</f>
        <v>81</v>
      </c>
      <c r="F82" s="61">
        <f>'Input Nilai'!F93</f>
        <v>0</v>
      </c>
      <c r="G82" s="61" t="str">
        <f>IF(F82=1,"2",IF(F82=0,"1"))</f>
        <v>1</v>
      </c>
      <c r="H82" s="68">
        <f>((G82+G83+G84+G85)*5/5)</f>
        <v>1</v>
      </c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136"/>
      <c r="V82" s="72"/>
      <c r="W82" s="72"/>
      <c r="X82" s="72"/>
      <c r="Y82" s="72"/>
      <c r="Z82" s="72"/>
      <c r="AA82" s="137"/>
      <c r="AB82" s="73">
        <f>1/3</f>
        <v>0.3333333333</v>
      </c>
      <c r="AC82" s="74">
        <f>IF(H82&lt;1,"0",H82)</f>
        <v>1</v>
      </c>
      <c r="AD82" s="75">
        <f>IF(AC82="",0,AC82)</f>
        <v>1</v>
      </c>
      <c r="AE82" s="75">
        <f>AB82/5</f>
        <v>0.06666666667</v>
      </c>
      <c r="AF82" s="75">
        <f>AD82*AE82</f>
        <v>0.06666666667</v>
      </c>
      <c r="AG82" s="79"/>
      <c r="AH82" s="79"/>
      <c r="AI82" s="79"/>
      <c r="AJ82" s="58" t="str">
        <f>IF(AF82=0,"-",
IF(H82=1,'Rekomendasi Aksi'!E82,
IF(H82=2,'Rekomendasi Aksi'!E82,
IF(H82=3,'Rekomendasi Aksi'!E83,
IF(H82=4,'Rekomendasi Aksi'!E84,
IF(H82=5,'Rekomendasi Aksi'!E85))))))</f>
        <v>Mengusulkan kegiatan mitigasi bencana menggunakan anggaran desa.</v>
      </c>
    </row>
    <row r="83" ht="15.0" customHeight="1">
      <c r="A83" s="79"/>
      <c r="B83" s="79"/>
      <c r="C83" s="79"/>
      <c r="D83" s="79"/>
      <c r="E83" s="61">
        <f>'Input Nilai'!E94</f>
        <v>82</v>
      </c>
      <c r="F83" s="61">
        <f>'Input Nilai'!F94</f>
        <v>0</v>
      </c>
      <c r="G83" s="61" t="str">
        <f t="shared" ref="G83:G85" si="21">IF(F83&lt;1,"0",IF(F83=0,"0",IF(F83=1,"1")))</f>
        <v>0</v>
      </c>
      <c r="H83" s="79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136"/>
      <c r="V83" s="72"/>
      <c r="W83" s="72"/>
      <c r="X83" s="72"/>
      <c r="Y83" s="72"/>
      <c r="Z83" s="72"/>
      <c r="AA83" s="137"/>
      <c r="AB83" s="79"/>
      <c r="AC83" s="79"/>
      <c r="AD83" s="79"/>
      <c r="AE83" s="79"/>
      <c r="AF83" s="79"/>
      <c r="AG83" s="79"/>
      <c r="AH83" s="79"/>
      <c r="AI83" s="79"/>
      <c r="AJ83" s="79"/>
    </row>
    <row r="84" ht="15.0" customHeight="1">
      <c r="A84" s="79"/>
      <c r="B84" s="79"/>
      <c r="C84" s="79"/>
      <c r="D84" s="79"/>
      <c r="E84" s="61">
        <f>'Input Nilai'!E95</f>
        <v>83</v>
      </c>
      <c r="F84" s="61">
        <f>'Input Nilai'!F95</f>
        <v>0</v>
      </c>
      <c r="G84" s="61" t="str">
        <f t="shared" si="21"/>
        <v>0</v>
      </c>
      <c r="H84" s="79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136"/>
      <c r="V84" s="72"/>
      <c r="W84" s="72"/>
      <c r="X84" s="72"/>
      <c r="Y84" s="72"/>
      <c r="Z84" s="72"/>
      <c r="AA84" s="137"/>
      <c r="AB84" s="79"/>
      <c r="AC84" s="79"/>
      <c r="AD84" s="79"/>
      <c r="AE84" s="79"/>
      <c r="AF84" s="79"/>
      <c r="AG84" s="79"/>
      <c r="AH84" s="79"/>
      <c r="AI84" s="79"/>
      <c r="AJ84" s="79"/>
    </row>
    <row r="85" ht="15.0" customHeight="1">
      <c r="A85" s="79"/>
      <c r="B85" s="79"/>
      <c r="C85" s="80"/>
      <c r="D85" s="80"/>
      <c r="E85" s="61">
        <f>'Input Nilai'!E96</f>
        <v>84</v>
      </c>
      <c r="F85" s="61">
        <f>'Input Nilai'!F96</f>
        <v>0</v>
      </c>
      <c r="G85" s="61" t="str">
        <f t="shared" si="21"/>
        <v>0</v>
      </c>
      <c r="H85" s="80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136"/>
      <c r="V85" s="72"/>
      <c r="W85" s="72"/>
      <c r="X85" s="72"/>
      <c r="Y85" s="72"/>
      <c r="Z85" s="72"/>
      <c r="AA85" s="137"/>
      <c r="AB85" s="80"/>
      <c r="AC85" s="80"/>
      <c r="AD85" s="80"/>
      <c r="AE85" s="80"/>
      <c r="AF85" s="80"/>
      <c r="AG85" s="79"/>
      <c r="AH85" s="79"/>
      <c r="AI85" s="79"/>
      <c r="AJ85" s="80"/>
    </row>
    <row r="86" ht="15.0" customHeight="1">
      <c r="A86" s="79"/>
      <c r="B86" s="79"/>
      <c r="C86" s="55">
        <f>'Input Nilai'!C97</f>
        <v>22</v>
      </c>
      <c r="D86" s="58" t="str">
        <f>'Input Nilai'!D97</f>
        <v>Sosialisasi Pengetahuan Kebencanaan</v>
      </c>
      <c r="E86" s="61">
        <f>'Input Nilai'!E97</f>
        <v>85</v>
      </c>
      <c r="F86" s="61">
        <f>'Input Nilai'!F97</f>
        <v>0</v>
      </c>
      <c r="G86" s="61" t="str">
        <f>IF(F86=1,"2",IF(F86=0,"1"))</f>
        <v>1</v>
      </c>
      <c r="H86" s="68">
        <f>((G86+G87+G88+G89)*5/5)</f>
        <v>1</v>
      </c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136"/>
      <c r="V86" s="72"/>
      <c r="W86" s="72"/>
      <c r="X86" s="72"/>
      <c r="Y86" s="72"/>
      <c r="Z86" s="72"/>
      <c r="AA86" s="137"/>
      <c r="AB86" s="73">
        <f>1/3</f>
        <v>0.3333333333</v>
      </c>
      <c r="AC86" s="74">
        <f>IF(H86&lt;1,"0",H86)</f>
        <v>1</v>
      </c>
      <c r="AD86" s="75">
        <f>IF(AC86="",0,AC86)</f>
        <v>1</v>
      </c>
      <c r="AE86" s="75">
        <f>AB86/5</f>
        <v>0.06666666667</v>
      </c>
      <c r="AF86" s="75">
        <f>AD86*AE86</f>
        <v>0.06666666667</v>
      </c>
      <c r="AG86" s="79"/>
      <c r="AH86" s="79"/>
      <c r="AI86" s="79"/>
      <c r="AJ86" s="58" t="str">
        <f>IF(AF86=0,"-",
IF(H86=1,'Rekomendasi Aksi'!E86,
IF(H86=2,'Rekomendasi Aksi'!E86,
IF(H86=3,'Rekomendasi Aksi'!E87,
IF(H86=4,'Rekomendasi Aksi'!E88,
IF(H86=5,'Rekomendasi Aksi'!E89))))))</f>
        <v>Mengusulkan kegiatan sosialisasi pengetahuan kebencanaan menggunakan anggaran desa.</v>
      </c>
    </row>
    <row r="87" ht="15.0" customHeight="1">
      <c r="A87" s="79"/>
      <c r="B87" s="79"/>
      <c r="C87" s="79"/>
      <c r="D87" s="79"/>
      <c r="E87" s="61">
        <f>'Input Nilai'!E98</f>
        <v>86</v>
      </c>
      <c r="F87" s="61">
        <f>'Input Nilai'!F98</f>
        <v>0</v>
      </c>
      <c r="G87" s="61" t="str">
        <f t="shared" ref="G87:G89" si="22">IF(F87&lt;1,"0",IF(F87=0,"0",IF(F87=1,"1")))</f>
        <v>0</v>
      </c>
      <c r="H87" s="79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136"/>
      <c r="V87" s="72"/>
      <c r="W87" s="72"/>
      <c r="X87" s="72"/>
      <c r="Y87" s="72"/>
      <c r="Z87" s="72"/>
      <c r="AA87" s="137"/>
      <c r="AB87" s="79"/>
      <c r="AC87" s="79"/>
      <c r="AD87" s="79"/>
      <c r="AE87" s="79"/>
      <c r="AF87" s="79"/>
      <c r="AG87" s="79"/>
      <c r="AH87" s="79"/>
      <c r="AI87" s="79"/>
      <c r="AJ87" s="79"/>
    </row>
    <row r="88" ht="15.0" customHeight="1">
      <c r="A88" s="79"/>
      <c r="B88" s="79"/>
      <c r="C88" s="79"/>
      <c r="D88" s="79"/>
      <c r="E88" s="61">
        <f>'Input Nilai'!E99</f>
        <v>87</v>
      </c>
      <c r="F88" s="61">
        <f>'Input Nilai'!F99</f>
        <v>0</v>
      </c>
      <c r="G88" s="61" t="str">
        <f t="shared" si="22"/>
        <v>0</v>
      </c>
      <c r="H88" s="79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136"/>
      <c r="V88" s="72"/>
      <c r="W88" s="72"/>
      <c r="X88" s="72"/>
      <c r="Y88" s="72"/>
      <c r="Z88" s="72"/>
      <c r="AA88" s="137"/>
      <c r="AB88" s="79"/>
      <c r="AC88" s="79"/>
      <c r="AD88" s="79"/>
      <c r="AE88" s="79"/>
      <c r="AF88" s="79"/>
      <c r="AG88" s="79"/>
      <c r="AH88" s="79"/>
      <c r="AI88" s="79"/>
      <c r="AJ88" s="79"/>
    </row>
    <row r="89" ht="15.0" customHeight="1">
      <c r="A89" s="80"/>
      <c r="B89" s="80"/>
      <c r="C89" s="80"/>
      <c r="D89" s="80"/>
      <c r="E89" s="61">
        <f>'Input Nilai'!E100</f>
        <v>88</v>
      </c>
      <c r="F89" s="61">
        <f>'Input Nilai'!F100</f>
        <v>0</v>
      </c>
      <c r="G89" s="61" t="str">
        <f t="shared" si="22"/>
        <v>0</v>
      </c>
      <c r="H89" s="80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136"/>
      <c r="V89" s="72"/>
      <c r="W89" s="72"/>
      <c r="X89" s="72"/>
      <c r="Y89" s="72"/>
      <c r="Z89" s="72"/>
      <c r="AA89" s="137"/>
      <c r="AB89" s="80"/>
      <c r="AC89" s="80"/>
      <c r="AD89" s="80"/>
      <c r="AE89" s="80"/>
      <c r="AF89" s="80"/>
      <c r="AG89" s="80"/>
      <c r="AH89" s="80"/>
      <c r="AI89" s="79"/>
      <c r="AJ89" s="80"/>
    </row>
    <row r="90" ht="15.0" customHeight="1">
      <c r="A90" s="55">
        <v>3.0</v>
      </c>
      <c r="B90" s="58" t="str">
        <f>'Input Nilai'!B89</f>
        <v>PENCEGAHAN DAN MITIGASI</v>
      </c>
      <c r="C90" s="127">
        <f>'Input Nilai'!C101</f>
        <v>23</v>
      </c>
      <c r="D90" s="58" t="str">
        <f>'Input Nilai'!D101</f>
        <v>Peringatan Bahaya</v>
      </c>
      <c r="E90" s="61">
        <f>'Input Nilai'!E101</f>
        <v>89</v>
      </c>
      <c r="F90" s="61">
        <f>'Input Nilai'!F101</f>
        <v>0</v>
      </c>
      <c r="G90" s="61" t="str">
        <f>IF(F90=1,"2",IF(F90=0,"1"))</f>
        <v>1</v>
      </c>
      <c r="H90" s="68">
        <f>((G90+G91+G92+G93)*5/5)</f>
        <v>1</v>
      </c>
      <c r="I90" s="69">
        <v>3.0</v>
      </c>
      <c r="J90" s="69">
        <v>4.0</v>
      </c>
      <c r="K90" s="69">
        <v>4.0</v>
      </c>
      <c r="L90" s="69">
        <v>4.0</v>
      </c>
      <c r="M90" s="69">
        <v>4.0</v>
      </c>
      <c r="N90" s="69">
        <v>3.0</v>
      </c>
      <c r="O90" s="69">
        <v>4.0</v>
      </c>
      <c r="P90" s="69">
        <v>4.0</v>
      </c>
      <c r="Q90" s="69">
        <v>4.0</v>
      </c>
      <c r="R90" s="69">
        <v>4.0</v>
      </c>
      <c r="S90" s="69">
        <v>4.0</v>
      </c>
      <c r="T90" s="69">
        <v>4.0</v>
      </c>
      <c r="U90" s="71">
        <v>3.0</v>
      </c>
      <c r="V90" s="69">
        <v>3.0</v>
      </c>
      <c r="W90" s="69">
        <v>3.0</v>
      </c>
      <c r="X90" s="69">
        <v>4.0</v>
      </c>
      <c r="Y90" s="69">
        <v>4.0</v>
      </c>
      <c r="Z90" s="72"/>
      <c r="AA90" s="73">
        <f>SUM(I90:Y92)/17</f>
        <v>3.705882353</v>
      </c>
      <c r="AB90" s="73">
        <f>1/6</f>
        <v>0.1666666667</v>
      </c>
      <c r="AC90" s="74">
        <f>IF(H90&lt;1,"0",H90)</f>
        <v>1</v>
      </c>
      <c r="AD90" s="75">
        <f>IF(AC90="",0,AC90)</f>
        <v>1</v>
      </c>
      <c r="AE90" s="75">
        <f>AB90/5</f>
        <v>0.03333333333</v>
      </c>
      <c r="AF90" s="75">
        <f>AD90*AE90</f>
        <v>0.03333333333</v>
      </c>
      <c r="AG90" s="141">
        <f>SUM(AF90:AF113)</f>
        <v>0.6</v>
      </c>
      <c r="AH90" s="77">
        <v>20.0</v>
      </c>
      <c r="AI90" s="79"/>
      <c r="AJ90" s="58" t="str">
        <f>IF(AF90=0,"-",
IF(H90=1,'Rekomendasi Aksi'!E90,
IF(H90=2,'Rekomendasi Aksi'!E90,
IF(H90=3,'Rekomendasi Aksi'!E91,
IF(H90=4,'Rekomendasi Aksi'!E92,
IF(H90=5,'Rekomendasi Aksi'!E93))))))</f>
        <v>Desa/Kelurahan segera mengembangkan penyediaan peringatan bahaya efektif </v>
      </c>
    </row>
    <row r="91" ht="15.0" customHeight="1">
      <c r="A91" s="79"/>
      <c r="B91" s="79"/>
      <c r="C91" s="79"/>
      <c r="D91" s="79"/>
      <c r="E91" s="61">
        <f>'Input Nilai'!E102</f>
        <v>90</v>
      </c>
      <c r="F91" s="61">
        <f>'Input Nilai'!F102</f>
        <v>0</v>
      </c>
      <c r="G91" s="61" t="str">
        <f t="shared" ref="G91:G93" si="23">IF(F91&lt;1,"0",IF(F91=0,"0",IF(F91=1,"1")))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2"/>
      <c r="AA91" s="79"/>
      <c r="AB91" s="79"/>
      <c r="AC91" s="79"/>
      <c r="AD91" s="79"/>
      <c r="AE91" s="79"/>
      <c r="AF91" s="79"/>
      <c r="AG91" s="79"/>
      <c r="AH91" s="79"/>
      <c r="AI91" s="79"/>
      <c r="AJ91" s="79"/>
    </row>
    <row r="92" ht="15.0" customHeight="1">
      <c r="A92" s="79"/>
      <c r="B92" s="79"/>
      <c r="C92" s="79"/>
      <c r="D92" s="79"/>
      <c r="E92" s="61">
        <f>'Input Nilai'!E103</f>
        <v>91</v>
      </c>
      <c r="F92" s="61">
        <f>'Input Nilai'!F103</f>
        <v>0</v>
      </c>
      <c r="G92" s="61" t="str">
        <f t="shared" si="23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2"/>
      <c r="AA92" s="79"/>
      <c r="AB92" s="79"/>
      <c r="AC92" s="79"/>
      <c r="AD92" s="79"/>
      <c r="AE92" s="79"/>
      <c r="AF92" s="79"/>
      <c r="AG92" s="79"/>
      <c r="AH92" s="79"/>
      <c r="AI92" s="79"/>
      <c r="AJ92" s="79"/>
    </row>
    <row r="93" ht="15.0" customHeight="1">
      <c r="A93" s="79"/>
      <c r="B93" s="79"/>
      <c r="C93" s="80"/>
      <c r="D93" s="80"/>
      <c r="E93" s="61">
        <f>'Input Nilai'!E104</f>
        <v>92</v>
      </c>
      <c r="F93" s="61">
        <f>'Input Nilai'!F104</f>
        <v>0</v>
      </c>
      <c r="G93" s="61" t="str">
        <f t="shared" si="23"/>
        <v>0</v>
      </c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72"/>
      <c r="AA93" s="80"/>
      <c r="AB93" s="80"/>
      <c r="AC93" s="80"/>
      <c r="AD93" s="80"/>
      <c r="AE93" s="80"/>
      <c r="AF93" s="80"/>
      <c r="AG93" s="79"/>
      <c r="AH93" s="79"/>
      <c r="AI93" s="79"/>
      <c r="AJ93" s="80"/>
    </row>
    <row r="94" ht="15.0" customHeight="1">
      <c r="A94" s="79"/>
      <c r="B94" s="79"/>
      <c r="C94" s="55">
        <f>'Input Nilai'!C105</f>
        <v>24</v>
      </c>
      <c r="D94" s="58" t="str">
        <f>'Input Nilai'!D105</f>
        <v>Penyebarluasan Peringatan Bahaya</v>
      </c>
      <c r="E94" s="61">
        <f>'Input Nilai'!E105</f>
        <v>93</v>
      </c>
      <c r="F94" s="61">
        <f>'Input Nilai'!F105</f>
        <v>1</v>
      </c>
      <c r="G94" s="61" t="str">
        <f>IF(F94=1,"2",IF(F94=0,"1"))</f>
        <v>2</v>
      </c>
      <c r="H94" s="68">
        <f>((G94+G95+G96+G97)*5/5)</f>
        <v>5</v>
      </c>
      <c r="I94" s="69">
        <v>3.0</v>
      </c>
      <c r="J94" s="69">
        <v>2.0</v>
      </c>
      <c r="K94" s="69">
        <v>4.0</v>
      </c>
      <c r="L94" s="69">
        <v>3.0</v>
      </c>
      <c r="M94" s="69">
        <v>3.0</v>
      </c>
      <c r="N94" s="69">
        <v>3.0</v>
      </c>
      <c r="O94" s="69">
        <v>4.0</v>
      </c>
      <c r="P94" s="69">
        <v>3.0</v>
      </c>
      <c r="Q94" s="69">
        <v>4.0</v>
      </c>
      <c r="R94" s="69">
        <v>4.0</v>
      </c>
      <c r="S94" s="69">
        <v>4.0</v>
      </c>
      <c r="T94" s="69">
        <v>4.0</v>
      </c>
      <c r="U94" s="71">
        <v>3.0</v>
      </c>
      <c r="V94" s="69">
        <v>4.0</v>
      </c>
      <c r="W94" s="69">
        <v>4.0</v>
      </c>
      <c r="X94" s="69">
        <v>4.0</v>
      </c>
      <c r="Y94" s="69">
        <v>4.0</v>
      </c>
      <c r="Z94" s="72"/>
      <c r="AA94" s="73">
        <f>SUM(I94:Y96)/17</f>
        <v>3.529411765</v>
      </c>
      <c r="AB94" s="73">
        <f>1/6</f>
        <v>0.1666666667</v>
      </c>
      <c r="AC94" s="74">
        <f>IF(H94&lt;1,"0",H94)</f>
        <v>5</v>
      </c>
      <c r="AD94" s="75">
        <f>IF(AC94="",0,AC94)</f>
        <v>5</v>
      </c>
      <c r="AE94" s="75">
        <f>AB94/5</f>
        <v>0.03333333333</v>
      </c>
      <c r="AF94" s="75">
        <f>AD94*AE94</f>
        <v>0.1666666667</v>
      </c>
      <c r="AG94" s="79"/>
      <c r="AH94" s="79"/>
      <c r="AI94" s="79"/>
      <c r="AJ94" s="58" t="str">
        <f>IF(AF94=0,"-",
IF(H94=1,'Rekomendasi Aksi'!E94,
IF(H94=2,'Rekomendasi Aksi'!E94,
IF(H94=3,'Rekomendasi Aksi'!E95,
IF(H94=4,'Rekomendasi Aksi'!E96,
IF(H94=5,'Rekomendasi Aksi'!E97))))))</f>
        <v>Bekerjasama dengan desa/kelurahan lain atau pihak lain dalam meningkatkan efektifitas penyebarluasan peringatah bahaya</v>
      </c>
    </row>
    <row r="95" ht="15.0" customHeight="1">
      <c r="A95" s="79"/>
      <c r="B95" s="79"/>
      <c r="C95" s="79"/>
      <c r="D95" s="79"/>
      <c r="E95" s="61">
        <f>'Input Nilai'!E106</f>
        <v>94</v>
      </c>
      <c r="F95" s="61">
        <f>'Input Nilai'!F106</f>
        <v>1</v>
      </c>
      <c r="G95" s="61" t="str">
        <f t="shared" ref="G95:G97" si="24">IF(F95&lt;1,"0",IF(F95=0,"0",IF(F95=1,"1")))</f>
        <v>1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2"/>
      <c r="AA95" s="79"/>
      <c r="AB95" s="79"/>
      <c r="AC95" s="79"/>
      <c r="AD95" s="79"/>
      <c r="AE95" s="79"/>
      <c r="AF95" s="79"/>
      <c r="AG95" s="79"/>
      <c r="AH95" s="79"/>
      <c r="AI95" s="79"/>
      <c r="AJ95" s="79"/>
    </row>
    <row r="96" ht="15.0" customHeight="1">
      <c r="A96" s="79"/>
      <c r="B96" s="79"/>
      <c r="C96" s="79"/>
      <c r="D96" s="79"/>
      <c r="E96" s="61">
        <f>'Input Nilai'!E107</f>
        <v>95</v>
      </c>
      <c r="F96" s="61">
        <f>'Input Nilai'!F107</f>
        <v>1</v>
      </c>
      <c r="G96" s="61" t="str">
        <f t="shared" si="24"/>
        <v>1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2"/>
      <c r="AA96" s="79"/>
      <c r="AB96" s="79"/>
      <c r="AC96" s="79"/>
      <c r="AD96" s="79"/>
      <c r="AE96" s="79"/>
      <c r="AF96" s="79"/>
      <c r="AG96" s="79"/>
      <c r="AH96" s="79"/>
      <c r="AI96" s="79"/>
      <c r="AJ96" s="79"/>
    </row>
    <row r="97" ht="15.0" customHeight="1">
      <c r="A97" s="79"/>
      <c r="B97" s="79"/>
      <c r="C97" s="80"/>
      <c r="D97" s="80"/>
      <c r="E97" s="61">
        <f>'Input Nilai'!E108</f>
        <v>96</v>
      </c>
      <c r="F97" s="61">
        <f>'Input Nilai'!F108</f>
        <v>1</v>
      </c>
      <c r="G97" s="61" t="str">
        <f t="shared" si="24"/>
        <v>1</v>
      </c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72"/>
      <c r="AA97" s="80"/>
      <c r="AB97" s="80"/>
      <c r="AC97" s="80"/>
      <c r="AD97" s="80"/>
      <c r="AE97" s="80"/>
      <c r="AF97" s="80"/>
      <c r="AG97" s="79"/>
      <c r="AH97" s="79"/>
      <c r="AI97" s="79"/>
      <c r="AJ97" s="80"/>
    </row>
    <row r="98" ht="15.0" customHeight="1">
      <c r="A98" s="79"/>
      <c r="B98" s="79"/>
      <c r="C98" s="55">
        <f>'Input Nilai'!C109</f>
        <v>25</v>
      </c>
      <c r="D98" s="58" t="str">
        <f>'Input Nilai'!D109</f>
        <v>Rencana Evakuasi</v>
      </c>
      <c r="E98" s="61">
        <f>'Input Nilai'!E109</f>
        <v>97</v>
      </c>
      <c r="F98" s="61">
        <f>'Input Nilai'!F109</f>
        <v>1</v>
      </c>
      <c r="G98" s="61" t="str">
        <f>IF(F98=1,"2",IF(F98=0,"1"))</f>
        <v>2</v>
      </c>
      <c r="H98" s="68">
        <f>((G98+G99+G100+G101)*5/5)</f>
        <v>5</v>
      </c>
      <c r="I98" s="69">
        <v>2.0</v>
      </c>
      <c r="J98" s="69">
        <v>2.0</v>
      </c>
      <c r="K98" s="69">
        <v>4.0</v>
      </c>
      <c r="L98" s="69">
        <v>4.0</v>
      </c>
      <c r="M98" s="69">
        <v>3.0</v>
      </c>
      <c r="N98" s="69">
        <v>4.0</v>
      </c>
      <c r="O98" s="69">
        <v>4.0</v>
      </c>
      <c r="P98" s="69">
        <v>4.0</v>
      </c>
      <c r="Q98" s="69">
        <v>4.0</v>
      </c>
      <c r="R98" s="69">
        <v>4.0</v>
      </c>
      <c r="S98" s="69">
        <v>4.0</v>
      </c>
      <c r="T98" s="69">
        <v>4.0</v>
      </c>
      <c r="U98" s="71">
        <v>4.0</v>
      </c>
      <c r="V98" s="69">
        <v>4.0</v>
      </c>
      <c r="W98" s="69">
        <v>4.0</v>
      </c>
      <c r="X98" s="69">
        <v>4.0</v>
      </c>
      <c r="Y98" s="69">
        <v>4.0</v>
      </c>
      <c r="Z98" s="72"/>
      <c r="AA98" s="73">
        <f>SUM(I98:Y100)/17</f>
        <v>3.705882353</v>
      </c>
      <c r="AB98" s="73">
        <f>1/6</f>
        <v>0.1666666667</v>
      </c>
      <c r="AC98" s="74">
        <f>IF(H98&lt;1,"0",H98)</f>
        <v>5</v>
      </c>
      <c r="AD98" s="75">
        <f>IF(AC98="",0,AC98)</f>
        <v>5</v>
      </c>
      <c r="AE98" s="75">
        <f>AB98/5</f>
        <v>0.03333333333</v>
      </c>
      <c r="AF98" s="75">
        <f>AD98*AE98</f>
        <v>0.1666666667</v>
      </c>
      <c r="AG98" s="79"/>
      <c r="AH98" s="79"/>
      <c r="AI98" s="79"/>
      <c r="AJ98" s="58" t="str">
        <f>IF(AF98=0,"-",
IF(H98=1,'Rekomendasi Aksi'!E98,
IF(H98=2,'Rekomendasi Aksi'!E98,
IF(H98=3,'Rekomendasi Aksi'!E99,
IF(H98=4,'Rekomendasi Aksi'!E100,
IF(H98=5,'Rekomendasi Aksi'!E101))))))</f>
        <v>Membangun kerjasama dengan desa/kelurahan atau pihak lain tentang penyusunan atau pengembangan rencana evakuasi bencana</v>
      </c>
    </row>
    <row r="99" ht="15.0" customHeight="1">
      <c r="A99" s="79"/>
      <c r="B99" s="79"/>
      <c r="C99" s="79"/>
      <c r="D99" s="79"/>
      <c r="E99" s="61">
        <f>'Input Nilai'!E110</f>
        <v>98</v>
      </c>
      <c r="F99" s="61">
        <f>'Input Nilai'!F110</f>
        <v>1</v>
      </c>
      <c r="G99" s="61" t="str">
        <f t="shared" ref="G99:G101" si="25">IF(F99&lt;1,"0",IF(F99=0,"0",IF(F99=1,"1")))</f>
        <v>1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2"/>
      <c r="AA99" s="79"/>
      <c r="AB99" s="79"/>
      <c r="AC99" s="79"/>
      <c r="AD99" s="79"/>
      <c r="AE99" s="79"/>
      <c r="AF99" s="79"/>
      <c r="AG99" s="79"/>
      <c r="AH99" s="79"/>
      <c r="AI99" s="79"/>
      <c r="AJ99" s="79"/>
    </row>
    <row r="100" ht="15.0" customHeight="1">
      <c r="A100" s="79"/>
      <c r="B100" s="79"/>
      <c r="C100" s="79"/>
      <c r="D100" s="79"/>
      <c r="E100" s="61">
        <f>'Input Nilai'!E111</f>
        <v>99</v>
      </c>
      <c r="F100" s="61">
        <f>'Input Nilai'!F111</f>
        <v>1</v>
      </c>
      <c r="G100" s="61" t="str">
        <f t="shared" si="25"/>
        <v>1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2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</row>
    <row r="101" ht="15.0" customHeight="1">
      <c r="A101" s="79"/>
      <c r="B101" s="79"/>
      <c r="C101" s="80"/>
      <c r="D101" s="80"/>
      <c r="E101" s="61">
        <f>'Input Nilai'!E112</f>
        <v>100</v>
      </c>
      <c r="F101" s="61">
        <f>'Input Nilai'!F112</f>
        <v>1</v>
      </c>
      <c r="G101" s="61" t="str">
        <f t="shared" si="25"/>
        <v>1</v>
      </c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72"/>
      <c r="AA101" s="80"/>
      <c r="AB101" s="80"/>
      <c r="AC101" s="80"/>
      <c r="AD101" s="80"/>
      <c r="AE101" s="80"/>
      <c r="AF101" s="80"/>
      <c r="AG101" s="79"/>
      <c r="AH101" s="79"/>
      <c r="AI101" s="79"/>
      <c r="AJ101" s="80"/>
    </row>
    <row r="102" ht="15.0" customHeight="1">
      <c r="A102" s="79"/>
      <c r="B102" s="79"/>
      <c r="C102" s="55">
        <f>'Input Nilai'!C113</f>
        <v>26</v>
      </c>
      <c r="D102" s="58" t="str">
        <f>'Input Nilai'!D113</f>
        <v>Jalur Evakuasi</v>
      </c>
      <c r="E102" s="61">
        <f>'Input Nilai'!E113</f>
        <v>101</v>
      </c>
      <c r="F102" s="61">
        <f>'Input Nilai'!F113</f>
        <v>1</v>
      </c>
      <c r="G102" s="61" t="str">
        <f>IF(F102=1,"2",IF(F102=0,"1"))</f>
        <v>2</v>
      </c>
      <c r="H102" s="68">
        <f>((G102+G103+G104+G105)*5/5)</f>
        <v>5</v>
      </c>
      <c r="I102" s="69">
        <v>3.0</v>
      </c>
      <c r="J102" s="69">
        <v>4.0</v>
      </c>
      <c r="K102" s="69">
        <v>4.0</v>
      </c>
      <c r="L102" s="69">
        <v>4.0</v>
      </c>
      <c r="M102" s="69">
        <v>3.0</v>
      </c>
      <c r="N102" s="69">
        <v>4.0</v>
      </c>
      <c r="O102" s="69">
        <v>4.0</v>
      </c>
      <c r="P102" s="69">
        <v>3.0</v>
      </c>
      <c r="Q102" s="69">
        <v>4.0</v>
      </c>
      <c r="R102" s="69">
        <v>4.0</v>
      </c>
      <c r="S102" s="69">
        <v>4.0</v>
      </c>
      <c r="T102" s="69">
        <v>4.0</v>
      </c>
      <c r="U102" s="71">
        <v>3.0</v>
      </c>
      <c r="V102" s="69">
        <v>3.0</v>
      </c>
      <c r="W102" s="69">
        <v>4.0</v>
      </c>
      <c r="X102" s="69">
        <v>3.0</v>
      </c>
      <c r="Y102" s="69">
        <v>4.0</v>
      </c>
      <c r="Z102" s="72"/>
      <c r="AA102" s="73">
        <f>SUM(I102:Y104)/17</f>
        <v>3.647058824</v>
      </c>
      <c r="AB102" s="73">
        <f>1/6</f>
        <v>0.1666666667</v>
      </c>
      <c r="AC102" s="74">
        <f>IF(H102&lt;1,"0",H102)</f>
        <v>5</v>
      </c>
      <c r="AD102" s="75">
        <f>IF(AC102="",0,AC102)</f>
        <v>5</v>
      </c>
      <c r="AE102" s="75">
        <f>AB102/5</f>
        <v>0.03333333333</v>
      </c>
      <c r="AF102" s="75">
        <f>AD102*AE102</f>
        <v>0.1666666667</v>
      </c>
      <c r="AG102" s="79"/>
      <c r="AH102" s="79"/>
      <c r="AI102" s="79"/>
      <c r="AJ102" s="58" t="str">
        <f>IF(AF102=0,"-",
IF(H102=1,'Rekomendasi Aksi'!E102,
IF(H102=2,'Rekomendasi Aksi'!E102,
IF(H102=3,'Rekomendasi Aksi'!E103,
IF(H102=4,'Rekomendasi Aksi'!E104,
IF(H102=5,'Rekomendasi Aksi'!E105))))))</f>
        <v>Melakukan kerjasama dengan Dinas/lembaga/organisasi untuk mengembangkan dan meningkatkan jalur evakuasi</v>
      </c>
    </row>
    <row r="103" ht="15.0" customHeight="1">
      <c r="A103" s="79"/>
      <c r="B103" s="79"/>
      <c r="C103" s="79"/>
      <c r="D103" s="79"/>
      <c r="E103" s="61">
        <f>'Input Nilai'!E114</f>
        <v>102</v>
      </c>
      <c r="F103" s="61">
        <f>'Input Nilai'!F114</f>
        <v>1</v>
      </c>
      <c r="G103" s="61" t="str">
        <f t="shared" ref="G103:G105" si="26">IF(F103&lt;1,"0",IF(F103=0,"0",IF(F103=1,"1")))</f>
        <v>1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2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</row>
    <row r="104" ht="15.0" customHeight="1">
      <c r="A104" s="79"/>
      <c r="B104" s="79"/>
      <c r="C104" s="79"/>
      <c r="D104" s="79"/>
      <c r="E104" s="61">
        <f>'Input Nilai'!E115</f>
        <v>103</v>
      </c>
      <c r="F104" s="61">
        <f>'Input Nilai'!F115</f>
        <v>1</v>
      </c>
      <c r="G104" s="61" t="str">
        <f t="shared" si="26"/>
        <v>1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2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</row>
    <row r="105" ht="15.0" customHeight="1">
      <c r="A105" s="79"/>
      <c r="B105" s="79"/>
      <c r="C105" s="80"/>
      <c r="D105" s="80"/>
      <c r="E105" s="61">
        <f>'Input Nilai'!E116</f>
        <v>104</v>
      </c>
      <c r="F105" s="61">
        <f>'Input Nilai'!F116</f>
        <v>1</v>
      </c>
      <c r="G105" s="61" t="str">
        <f t="shared" si="26"/>
        <v>1</v>
      </c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72"/>
      <c r="AA105" s="80"/>
      <c r="AB105" s="80"/>
      <c r="AC105" s="80"/>
      <c r="AD105" s="80"/>
      <c r="AE105" s="80"/>
      <c r="AF105" s="80"/>
      <c r="AG105" s="79"/>
      <c r="AH105" s="79"/>
      <c r="AI105" s="79"/>
      <c r="AJ105" s="80"/>
    </row>
    <row r="106" ht="15.0" customHeight="1">
      <c r="A106" s="79"/>
      <c r="B106" s="79"/>
      <c r="C106" s="55">
        <f>'Input Nilai'!C117</f>
        <v>27</v>
      </c>
      <c r="D106" s="58" t="str">
        <f>'Input Nilai'!D117</f>
        <v>Tempat Pengungsian</v>
      </c>
      <c r="E106" s="61">
        <f>'Input Nilai'!E117</f>
        <v>105</v>
      </c>
      <c r="F106" s="61">
        <f>'Input Nilai'!F117</f>
        <v>0</v>
      </c>
      <c r="G106" s="61" t="str">
        <f>IF(F106=1,"2",IF(F106=0,"1"))</f>
        <v>1</v>
      </c>
      <c r="H106" s="68">
        <f>((G106+G107+G108+G109)*5/5)</f>
        <v>1</v>
      </c>
      <c r="I106" s="69">
        <v>2.0</v>
      </c>
      <c r="J106" s="69">
        <v>3.0</v>
      </c>
      <c r="K106" s="69">
        <v>4.0</v>
      </c>
      <c r="L106" s="69">
        <v>4.0</v>
      </c>
      <c r="M106" s="69">
        <v>2.0</v>
      </c>
      <c r="N106" s="69">
        <v>4.0</v>
      </c>
      <c r="O106" s="69">
        <v>4.0</v>
      </c>
      <c r="P106" s="69">
        <v>3.0</v>
      </c>
      <c r="Q106" s="69">
        <v>4.0</v>
      </c>
      <c r="R106" s="69">
        <v>4.0</v>
      </c>
      <c r="S106" s="69">
        <v>4.0</v>
      </c>
      <c r="T106" s="69">
        <v>4.0</v>
      </c>
      <c r="U106" s="71">
        <v>2.0</v>
      </c>
      <c r="V106" s="69">
        <v>3.0</v>
      </c>
      <c r="W106" s="69">
        <v>4.0</v>
      </c>
      <c r="X106" s="69">
        <v>4.0</v>
      </c>
      <c r="Y106" s="69">
        <v>4.0</v>
      </c>
      <c r="Z106" s="72"/>
      <c r="AA106" s="73">
        <f>SUM(I106:Y108)/17</f>
        <v>3.470588235</v>
      </c>
      <c r="AB106" s="73">
        <f>1/6</f>
        <v>0.1666666667</v>
      </c>
      <c r="AC106" s="74">
        <f>IF(H106&lt;1,"0",H106)</f>
        <v>1</v>
      </c>
      <c r="AD106" s="75">
        <f>IF(AC106="",0,AC106)</f>
        <v>1</v>
      </c>
      <c r="AE106" s="75">
        <f>AB106/5</f>
        <v>0.03333333333</v>
      </c>
      <c r="AF106" s="75">
        <f>AD106*AE106</f>
        <v>0.03333333333</v>
      </c>
      <c r="AG106" s="79"/>
      <c r="AH106" s="79"/>
      <c r="AI106" s="79"/>
      <c r="AJ106" s="58" t="str">
        <f>IF(AF106=0,"-",
IF(H106=1,'Rekomendasi Aksi'!E106,
IF(H106=2,'Rekomendasi Aksi'!E106,
IF(H106=3,'Rekomendasi Aksi'!E107,
IF(H106=4,'Rekomendasi Aksi'!E108,
IF(H106=5,'Rekomendasi Aksi'!E109))))))</f>
        <v>Desa/Kelurahan perlu merencanakan dan menetapkan tempat pengungsian bencana dengan melibatkan masyarakat berpotensi terdampak bencana serta berkoordinasi dengan BPBD/dinas/lembaga/organisasi dalam sistem kesiapsiagaan setempat</v>
      </c>
    </row>
    <row r="107" ht="15.0" customHeight="1">
      <c r="A107" s="79"/>
      <c r="B107" s="79"/>
      <c r="C107" s="79"/>
      <c r="D107" s="79"/>
      <c r="E107" s="61">
        <f>'Input Nilai'!E118</f>
        <v>106</v>
      </c>
      <c r="F107" s="61">
        <f>'Input Nilai'!F118</f>
        <v>0</v>
      </c>
      <c r="G107" s="61" t="str">
        <f t="shared" ref="G107:G109" si="27">IF(F107&lt;1,"0",IF(F107=0,"0",IF(F107=1,"1")))</f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2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</row>
    <row r="108" ht="15.0" customHeight="1">
      <c r="A108" s="79"/>
      <c r="B108" s="79"/>
      <c r="C108" s="79"/>
      <c r="D108" s="79"/>
      <c r="E108" s="61">
        <f>'Input Nilai'!E119</f>
        <v>107</v>
      </c>
      <c r="F108" s="61">
        <f>'Input Nilai'!F119</f>
        <v>0</v>
      </c>
      <c r="G108" s="61" t="str">
        <f t="shared" si="27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2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</row>
    <row r="109" ht="15.0" customHeight="1">
      <c r="A109" s="79"/>
      <c r="B109" s="79"/>
      <c r="C109" s="80"/>
      <c r="D109" s="80"/>
      <c r="E109" s="61">
        <f>'Input Nilai'!E120</f>
        <v>108</v>
      </c>
      <c r="F109" s="61">
        <f>'Input Nilai'!F120</f>
        <v>0</v>
      </c>
      <c r="G109" s="61" t="str">
        <f t="shared" si="27"/>
        <v>0</v>
      </c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72"/>
      <c r="AA109" s="80"/>
      <c r="AB109" s="80"/>
      <c r="AC109" s="80"/>
      <c r="AD109" s="80"/>
      <c r="AE109" s="80"/>
      <c r="AF109" s="80"/>
      <c r="AG109" s="79"/>
      <c r="AH109" s="79"/>
      <c r="AI109" s="79"/>
      <c r="AJ109" s="80"/>
    </row>
    <row r="110" ht="15.0" customHeight="1">
      <c r="A110" s="79"/>
      <c r="B110" s="79"/>
      <c r="C110" s="55">
        <f>'Input Nilai'!C121</f>
        <v>28</v>
      </c>
      <c r="D110" s="58" t="str">
        <f>'Input Nilai'!D121</f>
        <v>Uji Kesiapsiagaan/ Simulasi</v>
      </c>
      <c r="E110" s="61">
        <f>'Input Nilai'!E121</f>
        <v>109</v>
      </c>
      <c r="F110" s="61">
        <f>'Input Nilai'!F121</f>
        <v>0</v>
      </c>
      <c r="G110" s="61" t="str">
        <f>IF(F110=1,"2",IF(F110=0,"1"))</f>
        <v>1</v>
      </c>
      <c r="H110" s="68">
        <f>((G110+G111+G112+G113)*5/5)</f>
        <v>1</v>
      </c>
      <c r="I110" s="69">
        <v>3.0</v>
      </c>
      <c r="J110" s="69">
        <v>2.0</v>
      </c>
      <c r="K110" s="69">
        <v>4.0</v>
      </c>
      <c r="L110" s="69">
        <v>4.0</v>
      </c>
      <c r="M110" s="69">
        <v>3.0</v>
      </c>
      <c r="N110" s="69">
        <v>3.0</v>
      </c>
      <c r="O110" s="69">
        <v>4.0</v>
      </c>
      <c r="P110" s="69">
        <v>3.0</v>
      </c>
      <c r="Q110" s="69">
        <v>4.0</v>
      </c>
      <c r="R110" s="69">
        <v>4.0</v>
      </c>
      <c r="S110" s="69">
        <v>4.0</v>
      </c>
      <c r="T110" s="69">
        <v>4.0</v>
      </c>
      <c r="U110" s="71">
        <v>3.0</v>
      </c>
      <c r="V110" s="69">
        <v>4.0</v>
      </c>
      <c r="W110" s="69">
        <v>3.0</v>
      </c>
      <c r="X110" s="69">
        <v>3.0</v>
      </c>
      <c r="Y110" s="69">
        <v>4.0</v>
      </c>
      <c r="Z110" s="72"/>
      <c r="AA110" s="73">
        <f>SUM(I110:Y112)/17</f>
        <v>3.470588235</v>
      </c>
      <c r="AB110" s="73">
        <f>1/6</f>
        <v>0.1666666667</v>
      </c>
      <c r="AC110" s="74">
        <f>IF(H110&lt;1,"0",H110)</f>
        <v>1</v>
      </c>
      <c r="AD110" s="75">
        <f>IF(AC110="",0,AC110)</f>
        <v>1</v>
      </c>
      <c r="AE110" s="75">
        <f>AB110/5</f>
        <v>0.03333333333</v>
      </c>
      <c r="AF110" s="75">
        <f>AD110*AE110</f>
        <v>0.03333333333</v>
      </c>
      <c r="AG110" s="79"/>
      <c r="AH110" s="79"/>
      <c r="AI110" s="79"/>
      <c r="AJ110" s="58" t="str">
        <f>IF(AF110=0,"-",
IF(H110=1,'Rekomendasi Aksi'!E110,
IF(H110=2,'Rekomendasi Aksi'!E110,
IF(H110=3,'Rekomendasi Aksi'!E111,
IF(H110=4,'Rekomendasi Aksi'!E112,
IF(H110=5,'Rekomendasi Aksi'!E113))))))</f>
        <v>Desa/Kelurahan perlu melakukan uji kesiapsiagaan/simulasi menghadapi bencana secara rutin untuk meningkatkan kesiapan masyarakat dan seluruh sistem kesiapsiagaan </v>
      </c>
    </row>
    <row r="111" ht="15.0" customHeight="1">
      <c r="A111" s="79"/>
      <c r="B111" s="79"/>
      <c r="C111" s="79"/>
      <c r="D111" s="79"/>
      <c r="E111" s="61">
        <f>'Input Nilai'!E122</f>
        <v>110</v>
      </c>
      <c r="F111" s="61">
        <f>'Input Nilai'!F122</f>
        <v>0</v>
      </c>
      <c r="G111" s="61" t="str">
        <f t="shared" ref="G111:G113" si="28">IF(F111&lt;1,"0",IF(F111=0,"0",IF(F111=1,"1")))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2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</row>
    <row r="112" ht="15.0" customHeight="1">
      <c r="A112" s="79"/>
      <c r="B112" s="79"/>
      <c r="C112" s="79"/>
      <c r="D112" s="79"/>
      <c r="E112" s="61">
        <f>'Input Nilai'!E123</f>
        <v>111</v>
      </c>
      <c r="F112" s="61">
        <f>'Input Nilai'!F123</f>
        <v>0</v>
      </c>
      <c r="G112" s="61" t="str">
        <f t="shared" si="28"/>
        <v>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2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</row>
    <row r="113" ht="15.0" customHeight="1">
      <c r="A113" s="80"/>
      <c r="B113" s="80"/>
      <c r="C113" s="80"/>
      <c r="D113" s="80"/>
      <c r="E113" s="61">
        <f>'Input Nilai'!E124</f>
        <v>112</v>
      </c>
      <c r="F113" s="61">
        <f>'Input Nilai'!F124</f>
        <v>0</v>
      </c>
      <c r="G113" s="61" t="str">
        <f t="shared" si="28"/>
        <v>0</v>
      </c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72"/>
      <c r="AA113" s="80"/>
      <c r="AB113" s="80"/>
      <c r="AC113" s="80"/>
      <c r="AD113" s="80"/>
      <c r="AE113" s="80"/>
      <c r="AF113" s="80"/>
      <c r="AG113" s="80"/>
      <c r="AH113" s="80"/>
      <c r="AI113" s="79"/>
      <c r="AJ113" s="80"/>
    </row>
    <row r="114" ht="15.0" customHeight="1">
      <c r="A114" s="58">
        <v>5.0</v>
      </c>
      <c r="B114" s="58" t="str">
        <f>'Input Nilai'!B125</f>
        <v>KESIAPSIAGAAN PEMULIHAN</v>
      </c>
      <c r="C114" s="55">
        <f>'Input Nilai'!C125</f>
        <v>29</v>
      </c>
      <c r="D114" s="58" t="str">
        <f>'Input Nilai'!D125</f>
        <v>Mekanisme Penilaian Pasca Bencana Secara Mandiri</v>
      </c>
      <c r="E114" s="61">
        <f>'Input Nilai'!E125</f>
        <v>113</v>
      </c>
      <c r="F114" s="61">
        <f>'Input Nilai'!F125</f>
        <v>0</v>
      </c>
      <c r="G114" s="61" t="str">
        <f>IF(F114=1,"2",IF(F114=0,"1"))</f>
        <v>1</v>
      </c>
      <c r="H114" s="68">
        <f>((G114+G115+G116+G117)*5/5)</f>
        <v>1</v>
      </c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3">
        <f>SUM(AA2:AA113)</f>
        <v>81.17647059</v>
      </c>
      <c r="AB114" s="73">
        <v>0.25</v>
      </c>
      <c r="AC114" s="74">
        <f>IF(H114&lt;1,"0",H114)</f>
        <v>1</v>
      </c>
      <c r="AD114" s="75">
        <f>IF(AC114="",0,AC114)</f>
        <v>1</v>
      </c>
      <c r="AE114" s="75">
        <f>AB114/5</f>
        <v>0.05</v>
      </c>
      <c r="AF114" s="75">
        <f>AD114*AE114</f>
        <v>0.05</v>
      </c>
      <c r="AG114" s="144">
        <f>SUM(AF114:AF129)</f>
        <v>0.4</v>
      </c>
      <c r="AH114" s="145">
        <v>20.0</v>
      </c>
      <c r="AI114" s="79"/>
      <c r="AJ114" s="58" t="str">
        <f>IF(AF114=0,"-",
IF(H114=1,'Rekomendasi Aksi'!E114,
IF(H114=2,'Rekomendasi Aksi'!E114,
IF(H114=3,'Rekomendasi Aksi'!E115,
IF(H114=4,'Rekomendasi Aksi'!E116,
IF(H114=5,'Rekomendasi Aksi'!E117))))))</f>
        <v>Mengusulkan kegiatan penyusunan mekanisme penilaian pasca bencana secara mandiri menggunakan anggaran desa.</v>
      </c>
    </row>
    <row r="115" ht="15.0" customHeight="1">
      <c r="A115" s="79"/>
      <c r="B115" s="79"/>
      <c r="C115" s="79"/>
      <c r="D115" s="79"/>
      <c r="E115" s="61">
        <f>'Input Nilai'!E126</f>
        <v>114</v>
      </c>
      <c r="F115" s="61">
        <f>'Input Nilai'!F126</f>
        <v>0</v>
      </c>
      <c r="G115" s="61" t="str">
        <f t="shared" ref="G115:G117" si="29">IF(F115&lt;1,"0",IF(F115=0,"0",IF(F115=1,"1")))</f>
        <v>0</v>
      </c>
      <c r="H115" s="79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37"/>
      <c r="AB115" s="79"/>
      <c r="AC115" s="79"/>
      <c r="AD115" s="79"/>
      <c r="AE115" s="79"/>
      <c r="AF115" s="79"/>
      <c r="AG115" s="79"/>
      <c r="AH115" s="79"/>
      <c r="AI115" s="79"/>
      <c r="AJ115" s="79"/>
    </row>
    <row r="116" ht="15.75" customHeight="1">
      <c r="A116" s="79"/>
      <c r="B116" s="79"/>
      <c r="C116" s="79"/>
      <c r="D116" s="79"/>
      <c r="E116" s="61">
        <f>'Input Nilai'!E127</f>
        <v>115</v>
      </c>
      <c r="F116" s="61">
        <f>'Input Nilai'!F127</f>
        <v>0</v>
      </c>
      <c r="G116" s="61" t="str">
        <f t="shared" si="29"/>
        <v>0</v>
      </c>
      <c r="H116" s="79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3"/>
      <c r="AB116" s="79"/>
      <c r="AC116" s="79"/>
      <c r="AD116" s="79"/>
      <c r="AE116" s="79"/>
      <c r="AF116" s="79"/>
      <c r="AG116" s="79"/>
      <c r="AH116" s="79"/>
      <c r="AI116" s="79"/>
      <c r="AJ116" s="79"/>
    </row>
    <row r="117" ht="15.75" customHeight="1">
      <c r="A117" s="79"/>
      <c r="B117" s="79"/>
      <c r="C117" s="80"/>
      <c r="D117" s="80"/>
      <c r="E117" s="61">
        <f>'Input Nilai'!E128</f>
        <v>116</v>
      </c>
      <c r="F117" s="61">
        <f>'Input Nilai'!F128</f>
        <v>0</v>
      </c>
      <c r="G117" s="61" t="str">
        <f t="shared" si="29"/>
        <v>0</v>
      </c>
      <c r="H117" s="80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3"/>
      <c r="AB117" s="80"/>
      <c r="AC117" s="80"/>
      <c r="AD117" s="80"/>
      <c r="AE117" s="80"/>
      <c r="AF117" s="80"/>
      <c r="AG117" s="79"/>
      <c r="AH117" s="79"/>
      <c r="AI117" s="79"/>
      <c r="AJ117" s="80"/>
    </row>
    <row r="118" ht="15.75" customHeight="1">
      <c r="A118" s="79"/>
      <c r="B118" s="79"/>
      <c r="C118" s="55">
        <f>'Input Nilai'!C129</f>
        <v>30</v>
      </c>
      <c r="D118" s="58" t="str">
        <f>'Input Nilai'!D129</f>
        <v>Mekanisme Pemulihan Dini Mandiri</v>
      </c>
      <c r="E118" s="61">
        <f>'Input Nilai'!E129</f>
        <v>117</v>
      </c>
      <c r="F118" s="61">
        <f>'Input Nilai'!F129</f>
        <v>0</v>
      </c>
      <c r="G118" s="61" t="str">
        <f>IF(F118=1,"2",IF(F118=0,"1"))</f>
        <v>1</v>
      </c>
      <c r="H118" s="68">
        <f>((G118+G119+G120+G121)*5/5)</f>
        <v>1</v>
      </c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3"/>
      <c r="AB118" s="73">
        <v>0.25</v>
      </c>
      <c r="AC118" s="74">
        <f>IF(H118&lt;1,"0",H118)</f>
        <v>1</v>
      </c>
      <c r="AD118" s="75">
        <f>IF(AC118="",0,AC118)</f>
        <v>1</v>
      </c>
      <c r="AE118" s="75">
        <f>AB118/5</f>
        <v>0.05</v>
      </c>
      <c r="AF118" s="75">
        <f>AD118*AE118</f>
        <v>0.05</v>
      </c>
      <c r="AG118" s="79"/>
      <c r="AH118" s="79"/>
      <c r="AI118" s="79"/>
      <c r="AJ118" s="58" t="str">
        <f>IF(AF118=0,"-",
IF(H118=1,'Rekomendasi Aksi'!E118,
IF(H118=2,'Rekomendasi Aksi'!E118,
IF(H118=3,'Rekomendasi Aksi'!E119,
IF(H118=4,'Rekomendasi Aksi'!E120,
IF(H118=5,'Rekomendasi Aksi'!E121))))))</f>
        <v>Mengusulkan kegiatan penyusunan mekanisme pemulihan dini mandiri menggunakan anggaran desa.</v>
      </c>
    </row>
    <row r="119" ht="15.75" customHeight="1">
      <c r="A119" s="79"/>
      <c r="B119" s="79"/>
      <c r="C119" s="79"/>
      <c r="D119" s="79"/>
      <c r="E119" s="61">
        <f>'Input Nilai'!E130</f>
        <v>118</v>
      </c>
      <c r="F119" s="61">
        <f>'Input Nilai'!F130</f>
        <v>0</v>
      </c>
      <c r="G119" s="61" t="str">
        <f t="shared" ref="G119:G121" si="30">IF(F119&lt;1,"0",IF(F119=0,"0",IF(F119=1,"1")))</f>
        <v>0</v>
      </c>
      <c r="H119" s="79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3"/>
      <c r="AB119" s="79"/>
      <c r="AC119" s="79"/>
      <c r="AD119" s="79"/>
      <c r="AE119" s="79"/>
      <c r="AF119" s="79"/>
      <c r="AG119" s="79"/>
      <c r="AH119" s="79"/>
      <c r="AI119" s="79"/>
      <c r="AJ119" s="79"/>
    </row>
    <row r="120" ht="15.75" customHeight="1">
      <c r="A120" s="79"/>
      <c r="B120" s="79"/>
      <c r="C120" s="79"/>
      <c r="D120" s="79"/>
      <c r="E120" s="61">
        <f>'Input Nilai'!E131</f>
        <v>119</v>
      </c>
      <c r="F120" s="61">
        <f>'Input Nilai'!F131</f>
        <v>0</v>
      </c>
      <c r="G120" s="61" t="str">
        <f t="shared" si="30"/>
        <v>0</v>
      </c>
      <c r="H120" s="79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3"/>
      <c r="AB120" s="79"/>
      <c r="AC120" s="79"/>
      <c r="AD120" s="79"/>
      <c r="AE120" s="79"/>
      <c r="AF120" s="79"/>
      <c r="AG120" s="79"/>
      <c r="AH120" s="79"/>
      <c r="AI120" s="79"/>
      <c r="AJ120" s="79"/>
    </row>
    <row r="121" ht="15.75" customHeight="1">
      <c r="A121" s="79"/>
      <c r="B121" s="79"/>
      <c r="C121" s="80"/>
      <c r="D121" s="80"/>
      <c r="E121" s="61">
        <f>'Input Nilai'!E132</f>
        <v>120</v>
      </c>
      <c r="F121" s="61">
        <f>'Input Nilai'!F132</f>
        <v>0</v>
      </c>
      <c r="G121" s="61" t="str">
        <f t="shared" si="30"/>
        <v>0</v>
      </c>
      <c r="H121" s="80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3"/>
      <c r="AB121" s="80"/>
      <c r="AC121" s="80"/>
      <c r="AD121" s="80"/>
      <c r="AE121" s="80"/>
      <c r="AF121" s="80"/>
      <c r="AG121" s="79"/>
      <c r="AH121" s="79"/>
      <c r="AI121" s="79"/>
      <c r="AJ121" s="80"/>
    </row>
    <row r="122" ht="15.75" customHeight="1">
      <c r="A122" s="79"/>
      <c r="B122" s="79"/>
      <c r="C122" s="55">
        <f>'Input Nilai'!C133</f>
        <v>31</v>
      </c>
      <c r="D122" s="58" t="str">
        <f>'Input Nilai'!D133</f>
        <v>Mekanisme Pengelolaan Bantuan Secara Mandiri yang Transparan dan Akuntabel</v>
      </c>
      <c r="E122" s="61">
        <f>'Input Nilai'!E133</f>
        <v>121</v>
      </c>
      <c r="F122" s="61">
        <f>'Input Nilai'!F133</f>
        <v>0</v>
      </c>
      <c r="G122" s="61" t="str">
        <f>IF(F122=1,"2",IF(F122=0,"1"))</f>
        <v>1</v>
      </c>
      <c r="H122" s="68">
        <f>((G122+G123+G124+G125)*5/5)</f>
        <v>1</v>
      </c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3"/>
      <c r="AB122" s="73">
        <v>0.25</v>
      </c>
      <c r="AC122" s="74">
        <f>IF(H122&lt;1,"0",H122)</f>
        <v>1</v>
      </c>
      <c r="AD122" s="75">
        <f>IF(AC122="",0,AC122)</f>
        <v>1</v>
      </c>
      <c r="AE122" s="75">
        <f>AB122/5</f>
        <v>0.05</v>
      </c>
      <c r="AF122" s="75">
        <f>AD122*AE122</f>
        <v>0.05</v>
      </c>
      <c r="AG122" s="79"/>
      <c r="AH122" s="79"/>
      <c r="AI122" s="79"/>
      <c r="AJ122" s="58" t="str">
        <f>IF(AF122=0,"-",
IF(H122=1,'Rekomendasi Aksi'!E122,
IF(H122=2,'Rekomendasi Aksi'!E122,
IF(H122=3,'Rekomendasi Aksi'!E123,
IF(H122=4,'Rekomendasi Aksi'!E124,
IF(H122=5,'Rekomendasi Aksi'!E125))))))</f>
        <v>Mengusulkan kegiatan penyusunan mekanisme pengelolaan bantuan secara mandiri yang transparan dan akuntabel menggunakan anggaran desa.</v>
      </c>
    </row>
    <row r="123" ht="15.75" customHeight="1">
      <c r="A123" s="79"/>
      <c r="B123" s="79"/>
      <c r="C123" s="79"/>
      <c r="D123" s="79"/>
      <c r="E123" s="61">
        <f>'Input Nilai'!E134</f>
        <v>122</v>
      </c>
      <c r="F123" s="61">
        <f>'Input Nilai'!F134</f>
        <v>0</v>
      </c>
      <c r="G123" s="61" t="str">
        <f t="shared" ref="G123:G125" si="31">IF(F123&lt;1,"0",IF(F123=0,"0",IF(F123=1,"1")))</f>
        <v>0</v>
      </c>
      <c r="H123" s="79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3"/>
      <c r="AB123" s="79"/>
      <c r="AC123" s="79"/>
      <c r="AD123" s="79"/>
      <c r="AE123" s="79"/>
      <c r="AF123" s="79"/>
      <c r="AG123" s="79"/>
      <c r="AH123" s="79"/>
      <c r="AI123" s="79"/>
      <c r="AJ123" s="79"/>
    </row>
    <row r="124" ht="15.75" customHeight="1">
      <c r="A124" s="79"/>
      <c r="B124" s="79"/>
      <c r="C124" s="79"/>
      <c r="D124" s="79"/>
      <c r="E124" s="61">
        <f>'Input Nilai'!E135</f>
        <v>123</v>
      </c>
      <c r="F124" s="61">
        <f>'Input Nilai'!F135</f>
        <v>0</v>
      </c>
      <c r="G124" s="61" t="str">
        <f t="shared" si="31"/>
        <v>0</v>
      </c>
      <c r="H124" s="79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3"/>
      <c r="AB124" s="79"/>
      <c r="AC124" s="79"/>
      <c r="AD124" s="79"/>
      <c r="AE124" s="79"/>
      <c r="AF124" s="79"/>
      <c r="AG124" s="79"/>
      <c r="AH124" s="79"/>
      <c r="AI124" s="79"/>
      <c r="AJ124" s="79"/>
    </row>
    <row r="125" ht="15.75" customHeight="1">
      <c r="A125" s="79"/>
      <c r="B125" s="79"/>
      <c r="C125" s="80"/>
      <c r="D125" s="80"/>
      <c r="E125" s="61">
        <f>'Input Nilai'!E136</f>
        <v>124</v>
      </c>
      <c r="F125" s="61">
        <f>'Input Nilai'!F136</f>
        <v>0</v>
      </c>
      <c r="G125" s="61" t="str">
        <f t="shared" si="31"/>
        <v>0</v>
      </c>
      <c r="H125" s="80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3"/>
      <c r="AB125" s="80"/>
      <c r="AC125" s="80"/>
      <c r="AD125" s="80"/>
      <c r="AE125" s="80"/>
      <c r="AF125" s="80"/>
      <c r="AG125" s="79"/>
      <c r="AH125" s="79"/>
      <c r="AI125" s="79"/>
      <c r="AJ125" s="80"/>
    </row>
    <row r="126" ht="15.75" customHeight="1">
      <c r="A126" s="79"/>
      <c r="B126" s="79"/>
      <c r="C126" s="55">
        <f>'Input Nilai'!C137</f>
        <v>32</v>
      </c>
      <c r="D126" s="58" t="str">
        <f>'Input Nilai'!D137</f>
        <v>Membangun Kembali dengan Lebih Baik</v>
      </c>
      <c r="E126" s="61">
        <f>'Input Nilai'!E137</f>
        <v>125</v>
      </c>
      <c r="F126" s="61">
        <f>'Input Nilai'!F137</f>
        <v>1</v>
      </c>
      <c r="G126" s="61" t="str">
        <f>IF(F126=1,"2",IF(F126=0,"1"))</f>
        <v>2</v>
      </c>
      <c r="H126" s="68">
        <f>((G126+G127+G128+G129)*5/5)</f>
        <v>5</v>
      </c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3"/>
      <c r="AB126" s="73">
        <v>0.25</v>
      </c>
      <c r="AC126" s="74">
        <f>IF(H126&lt;1,"0",H126)</f>
        <v>5</v>
      </c>
      <c r="AD126" s="75">
        <f>IF(AC126="",0,AC126)</f>
        <v>5</v>
      </c>
      <c r="AE126" s="75">
        <f>AB126/5</f>
        <v>0.05</v>
      </c>
      <c r="AF126" s="75">
        <f>AD126*AE126</f>
        <v>0.25</v>
      </c>
      <c r="AG126" s="79"/>
      <c r="AH126" s="79"/>
      <c r="AI126" s="79"/>
      <c r="AJ126" s="58" t="str">
        <f>IF(AF126=0,"-",
IF(H126=1,'Rekomendasi Aksi'!E126,
IF(H126=2,'Rekomendasi Aksi'!E126,
IF(H126=3,'Rekomendasi Aksi'!E127,
IF(H126=4,'Rekomendasi Aksi'!E128,
IF(H126=5,'Rekomendasi Aksi'!E129))))))</f>
        <v>Melakukan kerjasama dengan pihak lain dalam melakukan pengembangan/peningkatan rencana untuk membangun fasilitas tersebut secara lebih kuat dan aman pasca bencana.</v>
      </c>
    </row>
    <row r="127" ht="15.75" customHeight="1">
      <c r="A127" s="79"/>
      <c r="B127" s="79"/>
      <c r="C127" s="79"/>
      <c r="D127" s="79"/>
      <c r="E127" s="61">
        <f>'Input Nilai'!E138</f>
        <v>126</v>
      </c>
      <c r="F127" s="61">
        <f>'Input Nilai'!F138</f>
        <v>1</v>
      </c>
      <c r="G127" s="61" t="str">
        <f t="shared" ref="G127:G129" si="32">IF(F127&lt;1,"0",IF(F127=0,"0",IF(F127=1,"1")))</f>
        <v>1</v>
      </c>
      <c r="H127" s="79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3"/>
      <c r="AB127" s="79"/>
      <c r="AC127" s="79"/>
      <c r="AD127" s="79"/>
      <c r="AE127" s="79"/>
      <c r="AF127" s="79"/>
      <c r="AG127" s="79"/>
      <c r="AH127" s="79"/>
      <c r="AI127" s="79"/>
      <c r="AJ127" s="79"/>
    </row>
    <row r="128" ht="15.75" customHeight="1">
      <c r="A128" s="79"/>
      <c r="B128" s="79"/>
      <c r="C128" s="79"/>
      <c r="D128" s="79"/>
      <c r="E128" s="61">
        <f>'Input Nilai'!E139</f>
        <v>127</v>
      </c>
      <c r="F128" s="61">
        <f>'Input Nilai'!F139</f>
        <v>1</v>
      </c>
      <c r="G128" s="61" t="str">
        <f t="shared" si="32"/>
        <v>1</v>
      </c>
      <c r="H128" s="79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3"/>
      <c r="AB128" s="79"/>
      <c r="AC128" s="79"/>
      <c r="AD128" s="79"/>
      <c r="AE128" s="79"/>
      <c r="AF128" s="79"/>
      <c r="AG128" s="79"/>
      <c r="AH128" s="79"/>
      <c r="AI128" s="79"/>
      <c r="AJ128" s="79"/>
    </row>
    <row r="129" ht="15.75" customHeight="1">
      <c r="A129" s="80"/>
      <c r="B129" s="80"/>
      <c r="C129" s="80"/>
      <c r="D129" s="80"/>
      <c r="E129" s="61">
        <f>'Input Nilai'!E140</f>
        <v>128</v>
      </c>
      <c r="F129" s="61">
        <f>'Input Nilai'!F140</f>
        <v>1</v>
      </c>
      <c r="G129" s="61" t="str">
        <f t="shared" si="32"/>
        <v>1</v>
      </c>
      <c r="H129" s="80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3"/>
      <c r="AB129" s="80"/>
      <c r="AC129" s="80"/>
      <c r="AD129" s="80"/>
      <c r="AE129" s="80"/>
      <c r="AF129" s="80"/>
      <c r="AG129" s="80"/>
      <c r="AH129" s="80"/>
      <c r="AI129" s="80"/>
      <c r="AJ129" s="80"/>
    </row>
    <row r="130" ht="15.75" hidden="1" customHeight="1">
      <c r="A130" s="142"/>
      <c r="B130" s="142"/>
      <c r="C130" s="142"/>
      <c r="D130" s="146"/>
      <c r="E130" s="61"/>
      <c r="F130" s="61"/>
      <c r="G130" s="61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3"/>
      <c r="AB130" s="143"/>
      <c r="AC130" s="142"/>
      <c r="AD130" s="142"/>
      <c r="AE130" s="142"/>
      <c r="AF130" s="142"/>
      <c r="AG130" s="142"/>
      <c r="AH130" s="142"/>
      <c r="AI130" s="142"/>
      <c r="AJ130" s="142"/>
    </row>
    <row r="131" ht="15.75" hidden="1" customHeight="1">
      <c r="A131" s="147"/>
      <c r="B131" s="147"/>
      <c r="C131" s="147"/>
      <c r="D131" s="148"/>
      <c r="E131" s="149"/>
      <c r="F131" s="149"/>
      <c r="G131" s="149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50"/>
      <c r="AB131" s="150">
        <f t="shared" ref="AB131:AD131" si="33">SUM(AB2:AB130)</f>
        <v>5</v>
      </c>
      <c r="AC131" s="150">
        <f t="shared" si="33"/>
        <v>107</v>
      </c>
      <c r="AD131" s="150">
        <f t="shared" si="33"/>
        <v>107</v>
      </c>
      <c r="AE131" s="150"/>
      <c r="AF131" s="150"/>
      <c r="AG131" s="147"/>
      <c r="AH131" s="147"/>
      <c r="AI131" s="147"/>
      <c r="AJ131" s="147"/>
    </row>
    <row r="132" ht="15.75" hidden="1" customHeight="1">
      <c r="A132" s="142"/>
      <c r="B132" s="142"/>
      <c r="C132" s="142"/>
      <c r="D132" s="146"/>
      <c r="E132" s="61"/>
      <c r="F132" s="61"/>
      <c r="G132" s="61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3"/>
      <c r="AB132" s="143"/>
      <c r="AC132" s="142"/>
      <c r="AD132" s="142"/>
      <c r="AE132" s="142"/>
      <c r="AF132" s="142"/>
      <c r="AG132" s="142"/>
      <c r="AH132" s="142"/>
      <c r="AI132" s="142"/>
      <c r="AJ132" s="142"/>
    </row>
    <row r="133" ht="15.75" hidden="1" customHeight="1">
      <c r="A133" s="142"/>
      <c r="B133" s="142"/>
      <c r="C133" s="142"/>
      <c r="D133" s="146"/>
      <c r="E133" s="61"/>
      <c r="F133" s="61"/>
      <c r="G133" s="61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3"/>
      <c r="AB133" s="143"/>
      <c r="AC133" s="142"/>
      <c r="AD133" s="142"/>
      <c r="AE133" s="142"/>
      <c r="AF133" s="142"/>
      <c r="AG133" s="142"/>
      <c r="AH133" s="142"/>
      <c r="AI133" s="142"/>
      <c r="AJ133" s="142">
        <f>1/6</f>
        <v>0.1666666667</v>
      </c>
    </row>
    <row r="134" ht="15.75" hidden="1" customHeight="1">
      <c r="A134" s="142"/>
      <c r="B134" s="142"/>
      <c r="C134" s="142"/>
      <c r="D134" s="146"/>
      <c r="E134" s="61"/>
      <c r="F134" s="61"/>
      <c r="G134" s="61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3"/>
      <c r="AB134" s="143"/>
      <c r="AC134" s="142"/>
      <c r="AD134" s="142"/>
      <c r="AE134" s="142"/>
      <c r="AF134" s="142"/>
      <c r="AG134" s="142"/>
      <c r="AH134" s="142"/>
      <c r="AI134" s="142"/>
      <c r="AJ134" s="142"/>
    </row>
    <row r="135" ht="15.75" hidden="1" customHeight="1">
      <c r="A135" s="142"/>
      <c r="B135" s="142"/>
      <c r="C135" s="142"/>
      <c r="D135" s="146"/>
      <c r="E135" s="61"/>
      <c r="F135" s="61"/>
      <c r="G135" s="61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3"/>
      <c r="AB135" s="143"/>
      <c r="AC135" s="142"/>
      <c r="AD135" s="142"/>
      <c r="AE135" s="142"/>
      <c r="AF135" s="142"/>
      <c r="AG135" s="142"/>
      <c r="AH135" s="142"/>
      <c r="AI135" s="142"/>
      <c r="AJ135" s="151">
        <f>5/32</f>
        <v>0.15625</v>
      </c>
    </row>
    <row r="136" ht="15.75" hidden="1" customHeight="1">
      <c r="A136" s="142"/>
      <c r="B136" s="142"/>
      <c r="C136" s="142"/>
      <c r="D136" s="146"/>
      <c r="E136" s="61"/>
      <c r="F136" s="61"/>
      <c r="G136" s="61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3"/>
      <c r="AB136" s="143"/>
      <c r="AC136" s="142"/>
      <c r="AD136" s="142"/>
      <c r="AE136" s="142"/>
      <c r="AF136" s="142"/>
      <c r="AG136" s="142"/>
      <c r="AH136" s="142"/>
      <c r="AI136" s="142"/>
      <c r="AJ136" s="142">
        <v>0.15625</v>
      </c>
    </row>
    <row r="137" ht="15.75" hidden="1" customHeight="1">
      <c r="A137" s="142"/>
      <c r="B137" s="142"/>
      <c r="C137" s="142"/>
      <c r="D137" s="146"/>
      <c r="E137" s="61"/>
      <c r="F137" s="61"/>
      <c r="G137" s="61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3"/>
      <c r="AB137" s="143"/>
      <c r="AC137" s="142"/>
      <c r="AD137" s="142"/>
      <c r="AE137" s="142"/>
      <c r="AF137" s="142"/>
      <c r="AG137" s="142"/>
      <c r="AH137" s="142"/>
      <c r="AI137" s="142"/>
      <c r="AJ137" s="142"/>
    </row>
    <row r="138" ht="15.75" hidden="1" customHeight="1">
      <c r="A138" s="142"/>
      <c r="B138" s="142"/>
      <c r="C138" s="142"/>
      <c r="D138" s="146"/>
      <c r="E138" s="61"/>
      <c r="F138" s="61"/>
      <c r="G138" s="61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3"/>
      <c r="AB138" s="143"/>
      <c r="AC138" s="142"/>
      <c r="AD138" s="142"/>
      <c r="AE138" s="142"/>
      <c r="AF138" s="142"/>
      <c r="AG138" s="142"/>
      <c r="AH138" s="142"/>
      <c r="AI138" s="142"/>
      <c r="AJ138" s="142"/>
    </row>
    <row r="139" ht="15.75" customHeight="1">
      <c r="A139" s="142"/>
      <c r="B139" s="142"/>
      <c r="C139" s="142"/>
      <c r="D139" s="146"/>
      <c r="E139" s="61"/>
      <c r="F139" s="61"/>
      <c r="G139" s="61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3"/>
      <c r="AB139" s="143"/>
      <c r="AC139" s="142"/>
      <c r="AD139" s="142"/>
      <c r="AE139" s="142"/>
      <c r="AF139" s="142"/>
      <c r="AG139" s="142"/>
      <c r="AH139" s="142"/>
      <c r="AI139" s="142"/>
      <c r="AJ139" s="142"/>
    </row>
    <row r="140" ht="15.75" customHeight="1">
      <c r="A140" s="142"/>
      <c r="B140" s="142"/>
      <c r="C140" s="142"/>
      <c r="D140" s="146"/>
      <c r="E140" s="61"/>
      <c r="F140" s="61"/>
      <c r="G140" s="61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3"/>
      <c r="AB140" s="143"/>
      <c r="AC140" s="142"/>
      <c r="AD140" s="142"/>
      <c r="AE140" s="142"/>
      <c r="AF140" s="142"/>
      <c r="AG140" s="142"/>
      <c r="AH140" s="142"/>
      <c r="AI140" s="142"/>
      <c r="AJ140" s="142"/>
    </row>
    <row r="141" ht="15.75" customHeight="1">
      <c r="A141" s="142"/>
      <c r="B141" s="142"/>
      <c r="C141" s="142"/>
      <c r="D141" s="146"/>
      <c r="E141" s="61"/>
      <c r="F141" s="61"/>
      <c r="G141" s="61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3"/>
      <c r="AB141" s="143"/>
      <c r="AC141" s="142"/>
      <c r="AD141" s="142"/>
      <c r="AE141" s="142"/>
      <c r="AF141" s="142"/>
      <c r="AG141" s="142"/>
      <c r="AH141" s="142"/>
      <c r="AI141" s="142"/>
      <c r="AJ141" s="142"/>
    </row>
    <row r="142" ht="15.75" customHeight="1">
      <c r="A142" s="142"/>
      <c r="B142" s="142"/>
      <c r="C142" s="142"/>
      <c r="D142" s="146"/>
      <c r="E142" s="61"/>
      <c r="F142" s="61"/>
      <c r="G142" s="61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3"/>
      <c r="AB142" s="143"/>
      <c r="AC142" s="142"/>
      <c r="AD142" s="142"/>
      <c r="AE142" s="142"/>
      <c r="AF142" s="142"/>
      <c r="AG142" s="142"/>
      <c r="AH142" s="142"/>
      <c r="AI142" s="142"/>
      <c r="AJ142" s="142"/>
    </row>
    <row r="143" ht="15.75" customHeight="1">
      <c r="A143" s="142"/>
      <c r="B143" s="142"/>
      <c r="C143" s="142"/>
      <c r="D143" s="146"/>
      <c r="E143" s="61"/>
      <c r="F143" s="61"/>
      <c r="G143" s="61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3"/>
      <c r="AB143" s="143"/>
      <c r="AC143" s="142"/>
      <c r="AD143" s="142"/>
      <c r="AE143" s="142"/>
      <c r="AF143" s="142"/>
      <c r="AG143" s="142"/>
      <c r="AH143" s="142"/>
      <c r="AI143" s="142"/>
      <c r="AJ143" s="142"/>
    </row>
    <row r="144" ht="15.75" customHeight="1">
      <c r="A144" s="142"/>
      <c r="B144" s="142"/>
      <c r="C144" s="142"/>
      <c r="D144" s="146"/>
      <c r="E144" s="61"/>
      <c r="F144" s="61"/>
      <c r="G144" s="61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3"/>
      <c r="AB144" s="143"/>
      <c r="AC144" s="142"/>
      <c r="AD144" s="142"/>
      <c r="AE144" s="142"/>
      <c r="AF144" s="142"/>
      <c r="AG144" s="142"/>
      <c r="AH144" s="142"/>
      <c r="AI144" s="142"/>
      <c r="AJ144" s="142"/>
    </row>
    <row r="145" ht="15.75" customHeight="1">
      <c r="A145" s="142"/>
      <c r="B145" s="142"/>
      <c r="C145" s="142"/>
      <c r="D145" s="146"/>
      <c r="E145" s="61"/>
      <c r="F145" s="61"/>
      <c r="G145" s="61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3"/>
      <c r="AB145" s="143"/>
      <c r="AC145" s="142"/>
      <c r="AD145" s="142"/>
      <c r="AE145" s="142"/>
      <c r="AF145" s="142"/>
      <c r="AG145" s="142"/>
      <c r="AH145" s="142"/>
      <c r="AI145" s="142"/>
      <c r="AJ145" s="142"/>
    </row>
    <row r="146" ht="15.75" customHeight="1">
      <c r="A146" s="142"/>
      <c r="B146" s="142"/>
      <c r="C146" s="142"/>
      <c r="D146" s="146"/>
      <c r="E146" s="61"/>
      <c r="F146" s="61"/>
      <c r="G146" s="61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3"/>
      <c r="AB146" s="143"/>
      <c r="AC146" s="142"/>
      <c r="AD146" s="142"/>
      <c r="AE146" s="142"/>
      <c r="AF146" s="142"/>
      <c r="AG146" s="142"/>
      <c r="AH146" s="142"/>
      <c r="AI146" s="142"/>
      <c r="AJ146" s="142"/>
    </row>
    <row r="147" ht="15.75" customHeight="1">
      <c r="A147" s="142"/>
      <c r="B147" s="142"/>
      <c r="C147" s="142"/>
      <c r="D147" s="146"/>
      <c r="E147" s="61"/>
      <c r="F147" s="61"/>
      <c r="G147" s="61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3"/>
      <c r="AB147" s="143"/>
      <c r="AC147" s="142"/>
      <c r="AD147" s="142"/>
      <c r="AE147" s="142"/>
      <c r="AF147" s="142"/>
      <c r="AG147" s="142"/>
      <c r="AH147" s="142"/>
      <c r="AI147" s="142"/>
      <c r="AJ147" s="142"/>
    </row>
    <row r="148" ht="15.75" customHeight="1">
      <c r="A148" s="142"/>
      <c r="B148" s="142"/>
      <c r="C148" s="142"/>
      <c r="D148" s="146"/>
      <c r="E148" s="61"/>
      <c r="F148" s="61"/>
      <c r="G148" s="61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3"/>
      <c r="AB148" s="143"/>
      <c r="AC148" s="142"/>
      <c r="AD148" s="142"/>
      <c r="AE148" s="142"/>
      <c r="AF148" s="142"/>
      <c r="AG148" s="142"/>
      <c r="AH148" s="142"/>
      <c r="AI148" s="142"/>
      <c r="AJ148" s="142"/>
    </row>
    <row r="149" ht="15.75" customHeight="1">
      <c r="A149" s="142"/>
      <c r="B149" s="142"/>
      <c r="C149" s="142"/>
      <c r="D149" s="146"/>
      <c r="E149" s="61"/>
      <c r="F149" s="61"/>
      <c r="G149" s="61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3"/>
      <c r="AB149" s="143"/>
      <c r="AC149" s="142"/>
      <c r="AD149" s="142"/>
      <c r="AE149" s="142"/>
      <c r="AF149" s="142"/>
      <c r="AG149" s="142"/>
      <c r="AH149" s="142"/>
      <c r="AI149" s="142"/>
      <c r="AJ149" s="142"/>
    </row>
    <row r="150" ht="15.75" customHeight="1">
      <c r="A150" s="142"/>
      <c r="B150" s="142"/>
      <c r="C150" s="142"/>
      <c r="D150" s="146"/>
      <c r="E150" s="61"/>
      <c r="F150" s="61"/>
      <c r="G150" s="61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3"/>
      <c r="AB150" s="143"/>
      <c r="AC150" s="142"/>
      <c r="AD150" s="142"/>
      <c r="AE150" s="142"/>
      <c r="AF150" s="142"/>
      <c r="AG150" s="142"/>
      <c r="AH150" s="142"/>
      <c r="AI150" s="142"/>
      <c r="AJ150" s="142"/>
    </row>
    <row r="151" ht="15.75" customHeight="1">
      <c r="A151" s="142"/>
      <c r="B151" s="142"/>
      <c r="C151" s="142"/>
      <c r="D151" s="146"/>
      <c r="E151" s="61"/>
      <c r="F151" s="61"/>
      <c r="G151" s="61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3"/>
      <c r="AB151" s="143"/>
      <c r="AC151" s="142"/>
      <c r="AD151" s="142"/>
      <c r="AE151" s="142"/>
      <c r="AF151" s="142"/>
      <c r="AG151" s="142"/>
      <c r="AH151" s="142"/>
      <c r="AI151" s="142"/>
      <c r="AJ151" s="142"/>
    </row>
    <row r="152" ht="15.75" customHeight="1">
      <c r="A152" s="142"/>
      <c r="B152" s="142"/>
      <c r="C152" s="142"/>
      <c r="D152" s="146"/>
      <c r="E152" s="61"/>
      <c r="F152" s="61"/>
      <c r="G152" s="61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3"/>
      <c r="AB152" s="143"/>
      <c r="AC152" s="142"/>
      <c r="AD152" s="142"/>
      <c r="AE152" s="142"/>
      <c r="AF152" s="142"/>
      <c r="AG152" s="142"/>
      <c r="AH152" s="142"/>
      <c r="AI152" s="142"/>
      <c r="AJ152" s="142"/>
    </row>
    <row r="153" ht="15.75" customHeight="1">
      <c r="A153" s="142"/>
      <c r="B153" s="142"/>
      <c r="C153" s="142"/>
      <c r="D153" s="146"/>
      <c r="E153" s="61"/>
      <c r="F153" s="61"/>
      <c r="G153" s="61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3"/>
      <c r="AB153" s="143"/>
      <c r="AC153" s="142"/>
      <c r="AD153" s="142"/>
      <c r="AE153" s="142"/>
      <c r="AF153" s="142"/>
      <c r="AG153" s="142"/>
      <c r="AH153" s="142"/>
      <c r="AI153" s="142"/>
      <c r="AJ153" s="142"/>
    </row>
    <row r="154" ht="15.75" customHeight="1">
      <c r="A154" s="142"/>
      <c r="B154" s="142"/>
      <c r="C154" s="142"/>
      <c r="D154" s="146"/>
      <c r="E154" s="61"/>
      <c r="F154" s="61"/>
      <c r="G154" s="61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3"/>
      <c r="AB154" s="143"/>
      <c r="AC154" s="142"/>
      <c r="AD154" s="142"/>
      <c r="AE154" s="142"/>
      <c r="AF154" s="142"/>
      <c r="AG154" s="142"/>
      <c r="AH154" s="142"/>
      <c r="AI154" s="142"/>
      <c r="AJ154" s="142"/>
    </row>
    <row r="155" ht="15.75" customHeight="1">
      <c r="A155" s="142"/>
      <c r="B155" s="142"/>
      <c r="C155" s="142"/>
      <c r="D155" s="146"/>
      <c r="E155" s="61"/>
      <c r="F155" s="61"/>
      <c r="G155" s="61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3"/>
      <c r="AB155" s="143"/>
      <c r="AC155" s="142"/>
      <c r="AD155" s="142"/>
      <c r="AE155" s="142"/>
      <c r="AF155" s="142"/>
      <c r="AG155" s="142"/>
      <c r="AH155" s="142"/>
      <c r="AI155" s="142"/>
      <c r="AJ155" s="142"/>
    </row>
    <row r="156" ht="15.75" customHeight="1">
      <c r="A156" s="142"/>
      <c r="B156" s="142"/>
      <c r="C156" s="142"/>
      <c r="D156" s="146"/>
      <c r="E156" s="61"/>
      <c r="F156" s="61"/>
      <c r="G156" s="61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3"/>
      <c r="AB156" s="143"/>
      <c r="AC156" s="142"/>
      <c r="AD156" s="142"/>
      <c r="AE156" s="142"/>
      <c r="AF156" s="142"/>
      <c r="AG156" s="142"/>
      <c r="AH156" s="142"/>
      <c r="AI156" s="142"/>
      <c r="AJ156" s="142"/>
    </row>
    <row r="157" ht="15.75" customHeight="1">
      <c r="A157" s="142"/>
      <c r="B157" s="142"/>
      <c r="C157" s="142"/>
      <c r="D157" s="146"/>
      <c r="E157" s="61"/>
      <c r="F157" s="61"/>
      <c r="G157" s="61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3"/>
      <c r="AB157" s="143"/>
      <c r="AC157" s="142"/>
      <c r="AD157" s="142"/>
      <c r="AE157" s="142"/>
      <c r="AF157" s="142"/>
      <c r="AG157" s="142"/>
      <c r="AH157" s="142"/>
      <c r="AI157" s="142"/>
      <c r="AJ157" s="142"/>
    </row>
    <row r="158" ht="15.75" customHeight="1">
      <c r="A158" s="142"/>
      <c r="B158" s="142"/>
      <c r="C158" s="142"/>
      <c r="D158" s="146"/>
      <c r="E158" s="61"/>
      <c r="F158" s="61"/>
      <c r="G158" s="61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3"/>
      <c r="AB158" s="143"/>
      <c r="AC158" s="142"/>
      <c r="AD158" s="142"/>
      <c r="AE158" s="142"/>
      <c r="AF158" s="142"/>
      <c r="AG158" s="142"/>
      <c r="AH158" s="142"/>
      <c r="AI158" s="142"/>
      <c r="AJ158" s="142"/>
    </row>
    <row r="159" ht="15.75" customHeight="1">
      <c r="A159" s="142"/>
      <c r="B159" s="142"/>
      <c r="C159" s="142"/>
      <c r="D159" s="146"/>
      <c r="E159" s="61"/>
      <c r="F159" s="61"/>
      <c r="G159" s="61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3"/>
      <c r="AB159" s="143"/>
      <c r="AC159" s="142"/>
      <c r="AD159" s="142"/>
      <c r="AE159" s="142"/>
      <c r="AF159" s="142"/>
      <c r="AG159" s="142"/>
      <c r="AH159" s="142"/>
      <c r="AI159" s="142"/>
      <c r="AJ159" s="142"/>
    </row>
    <row r="160" ht="15.75" customHeight="1">
      <c r="A160" s="142"/>
      <c r="B160" s="142"/>
      <c r="C160" s="142"/>
      <c r="D160" s="146"/>
      <c r="E160" s="61"/>
      <c r="F160" s="61"/>
      <c r="G160" s="61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3"/>
      <c r="AB160" s="143"/>
      <c r="AC160" s="142"/>
      <c r="AD160" s="142"/>
      <c r="AE160" s="142"/>
      <c r="AF160" s="142"/>
      <c r="AG160" s="142"/>
      <c r="AH160" s="142"/>
      <c r="AI160" s="142"/>
      <c r="AJ160" s="142"/>
    </row>
    <row r="161" ht="15.75" customHeight="1">
      <c r="A161" s="142"/>
      <c r="B161" s="142"/>
      <c r="C161" s="142"/>
      <c r="D161" s="146"/>
      <c r="E161" s="61"/>
      <c r="F161" s="61"/>
      <c r="G161" s="61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3"/>
      <c r="AB161" s="143"/>
      <c r="AC161" s="142"/>
      <c r="AD161" s="142"/>
      <c r="AE161" s="142"/>
      <c r="AF161" s="142"/>
      <c r="AG161" s="142"/>
      <c r="AH161" s="142"/>
      <c r="AI161" s="142"/>
      <c r="AJ161" s="142"/>
    </row>
    <row r="162" ht="15.75" customHeight="1">
      <c r="A162" s="142"/>
      <c r="B162" s="142"/>
      <c r="C162" s="142"/>
      <c r="D162" s="146"/>
      <c r="E162" s="61"/>
      <c r="F162" s="61"/>
      <c r="G162" s="61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3"/>
      <c r="AB162" s="143"/>
      <c r="AC162" s="142"/>
      <c r="AD162" s="142"/>
      <c r="AE162" s="142"/>
      <c r="AF162" s="142"/>
      <c r="AG162" s="142"/>
      <c r="AH162" s="142"/>
      <c r="AI162" s="142"/>
      <c r="AJ162" s="142"/>
    </row>
    <row r="163" ht="15.75" customHeight="1">
      <c r="A163" s="142"/>
      <c r="B163" s="142"/>
      <c r="C163" s="142"/>
      <c r="D163" s="146"/>
      <c r="E163" s="61"/>
      <c r="F163" s="61"/>
      <c r="G163" s="61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3"/>
      <c r="AB163" s="143"/>
      <c r="AC163" s="142"/>
      <c r="AD163" s="142"/>
      <c r="AE163" s="142"/>
      <c r="AF163" s="142"/>
      <c r="AG163" s="142"/>
      <c r="AH163" s="142"/>
      <c r="AI163" s="142"/>
      <c r="AJ163" s="142"/>
    </row>
    <row r="164" ht="15.75" customHeight="1">
      <c r="A164" s="142"/>
      <c r="B164" s="142"/>
      <c r="C164" s="142"/>
      <c r="D164" s="146"/>
      <c r="E164" s="61"/>
      <c r="F164" s="61"/>
      <c r="G164" s="61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3"/>
      <c r="AB164" s="143"/>
      <c r="AC164" s="142"/>
      <c r="AD164" s="142"/>
      <c r="AE164" s="142"/>
      <c r="AF164" s="142"/>
      <c r="AG164" s="142"/>
      <c r="AH164" s="142"/>
      <c r="AI164" s="142"/>
      <c r="AJ164" s="142"/>
    </row>
    <row r="165" ht="15.75" customHeight="1">
      <c r="A165" s="142"/>
      <c r="B165" s="142"/>
      <c r="C165" s="142"/>
      <c r="D165" s="146"/>
      <c r="E165" s="61"/>
      <c r="F165" s="61"/>
      <c r="G165" s="61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3"/>
      <c r="AB165" s="143"/>
      <c r="AC165" s="142"/>
      <c r="AD165" s="142"/>
      <c r="AE165" s="142"/>
      <c r="AF165" s="142"/>
      <c r="AG165" s="142"/>
      <c r="AH165" s="142"/>
      <c r="AI165" s="142"/>
      <c r="AJ165" s="142"/>
    </row>
    <row r="166" ht="15.75" customHeight="1">
      <c r="A166" s="142"/>
      <c r="B166" s="142"/>
      <c r="C166" s="142"/>
      <c r="D166" s="146"/>
      <c r="E166" s="61"/>
      <c r="F166" s="61"/>
      <c r="G166" s="61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3"/>
      <c r="AB166" s="143"/>
      <c r="AC166" s="142"/>
      <c r="AD166" s="142"/>
      <c r="AE166" s="142"/>
      <c r="AF166" s="142"/>
      <c r="AG166" s="142"/>
      <c r="AH166" s="142"/>
      <c r="AI166" s="142"/>
      <c r="AJ166" s="142"/>
    </row>
    <row r="167" ht="15.75" customHeight="1">
      <c r="A167" s="142"/>
      <c r="B167" s="142"/>
      <c r="C167" s="142"/>
      <c r="D167" s="146"/>
      <c r="E167" s="61"/>
      <c r="F167" s="61"/>
      <c r="G167" s="61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3"/>
      <c r="AB167" s="143"/>
      <c r="AC167" s="142"/>
      <c r="AD167" s="142"/>
      <c r="AE167" s="142"/>
      <c r="AF167" s="142"/>
      <c r="AG167" s="142"/>
      <c r="AH167" s="142"/>
      <c r="AI167" s="142"/>
      <c r="AJ167" s="142"/>
    </row>
    <row r="168" ht="15.75" customHeight="1">
      <c r="A168" s="142"/>
      <c r="B168" s="142"/>
      <c r="C168" s="142"/>
      <c r="D168" s="146"/>
      <c r="E168" s="61"/>
      <c r="F168" s="61"/>
      <c r="G168" s="61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3"/>
      <c r="AB168" s="143"/>
      <c r="AC168" s="142"/>
      <c r="AD168" s="142"/>
      <c r="AE168" s="142"/>
      <c r="AF168" s="142"/>
      <c r="AG168" s="142"/>
      <c r="AH168" s="142"/>
      <c r="AI168" s="142"/>
      <c r="AJ168" s="142"/>
    </row>
    <row r="169" ht="15.75" customHeight="1">
      <c r="A169" s="142"/>
      <c r="B169" s="142"/>
      <c r="C169" s="142"/>
      <c r="D169" s="146"/>
      <c r="E169" s="61"/>
      <c r="F169" s="61"/>
      <c r="G169" s="61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3"/>
      <c r="AB169" s="143"/>
      <c r="AC169" s="142"/>
      <c r="AD169" s="142"/>
      <c r="AE169" s="142"/>
      <c r="AF169" s="142"/>
      <c r="AG169" s="142"/>
      <c r="AH169" s="142"/>
      <c r="AI169" s="142"/>
      <c r="AJ169" s="142"/>
    </row>
    <row r="170" ht="15.75" customHeight="1">
      <c r="A170" s="142"/>
      <c r="B170" s="142"/>
      <c r="C170" s="142"/>
      <c r="D170" s="146"/>
      <c r="E170" s="61"/>
      <c r="F170" s="61"/>
      <c r="G170" s="61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3"/>
      <c r="AB170" s="143"/>
      <c r="AC170" s="142"/>
      <c r="AD170" s="142"/>
      <c r="AE170" s="142"/>
      <c r="AF170" s="142"/>
      <c r="AG170" s="142"/>
      <c r="AH170" s="142"/>
      <c r="AI170" s="142"/>
      <c r="AJ170" s="142"/>
    </row>
    <row r="171" ht="15.75" customHeight="1">
      <c r="A171" s="142"/>
      <c r="B171" s="142"/>
      <c r="C171" s="142"/>
      <c r="D171" s="146"/>
      <c r="E171" s="61"/>
      <c r="F171" s="61"/>
      <c r="G171" s="61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3"/>
      <c r="AB171" s="143"/>
      <c r="AC171" s="142"/>
      <c r="AD171" s="142"/>
      <c r="AE171" s="142"/>
      <c r="AF171" s="142"/>
      <c r="AG171" s="142"/>
      <c r="AH171" s="142"/>
      <c r="AI171" s="142"/>
      <c r="AJ171" s="142"/>
    </row>
    <row r="172" ht="15.75" customHeight="1">
      <c r="A172" s="142"/>
      <c r="B172" s="142"/>
      <c r="C172" s="142"/>
      <c r="D172" s="146"/>
      <c r="E172" s="61"/>
      <c r="F172" s="61"/>
      <c r="G172" s="61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3"/>
      <c r="AB172" s="143"/>
      <c r="AC172" s="142"/>
      <c r="AD172" s="142"/>
      <c r="AE172" s="142"/>
      <c r="AF172" s="142"/>
      <c r="AG172" s="142"/>
      <c r="AH172" s="142"/>
      <c r="AI172" s="142"/>
      <c r="AJ172" s="142"/>
    </row>
    <row r="173" ht="15.75" customHeight="1">
      <c r="A173" s="142"/>
      <c r="B173" s="142"/>
      <c r="C173" s="142"/>
      <c r="D173" s="146"/>
      <c r="E173" s="61"/>
      <c r="F173" s="61"/>
      <c r="G173" s="61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3"/>
      <c r="AB173" s="143"/>
      <c r="AC173" s="142"/>
      <c r="AD173" s="142"/>
      <c r="AE173" s="142"/>
      <c r="AF173" s="142"/>
      <c r="AG173" s="142"/>
      <c r="AH173" s="142"/>
      <c r="AI173" s="142"/>
      <c r="AJ173" s="142"/>
    </row>
    <row r="174" ht="15.75" customHeight="1">
      <c r="A174" s="142"/>
      <c r="B174" s="142"/>
      <c r="C174" s="142"/>
      <c r="D174" s="146"/>
      <c r="E174" s="61"/>
      <c r="F174" s="61"/>
      <c r="G174" s="61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3"/>
      <c r="AB174" s="143"/>
      <c r="AC174" s="142"/>
      <c r="AD174" s="142"/>
      <c r="AE174" s="142"/>
      <c r="AF174" s="142"/>
      <c r="AG174" s="142"/>
      <c r="AH174" s="142"/>
      <c r="AI174" s="142"/>
      <c r="AJ174" s="142"/>
    </row>
    <row r="175" ht="15.75" customHeight="1">
      <c r="A175" s="142"/>
      <c r="B175" s="142"/>
      <c r="C175" s="142"/>
      <c r="D175" s="146"/>
      <c r="E175" s="61"/>
      <c r="F175" s="61"/>
      <c r="G175" s="61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3"/>
      <c r="AB175" s="143"/>
      <c r="AC175" s="142"/>
      <c r="AD175" s="142"/>
      <c r="AE175" s="142"/>
      <c r="AF175" s="142"/>
      <c r="AG175" s="142"/>
      <c r="AH175" s="142"/>
      <c r="AI175" s="142"/>
      <c r="AJ175" s="142"/>
    </row>
    <row r="176" ht="15.75" customHeight="1">
      <c r="A176" s="142"/>
      <c r="B176" s="142"/>
      <c r="C176" s="142"/>
      <c r="D176" s="146"/>
      <c r="E176" s="61"/>
      <c r="F176" s="61"/>
      <c r="G176" s="61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3"/>
      <c r="AB176" s="143"/>
      <c r="AC176" s="142"/>
      <c r="AD176" s="142"/>
      <c r="AE176" s="142"/>
      <c r="AF176" s="142"/>
      <c r="AG176" s="142"/>
      <c r="AH176" s="142"/>
      <c r="AI176" s="142"/>
      <c r="AJ176" s="142"/>
    </row>
    <row r="177" ht="15.75" customHeight="1">
      <c r="A177" s="142"/>
      <c r="B177" s="142"/>
      <c r="C177" s="142"/>
      <c r="D177" s="146"/>
      <c r="E177" s="61"/>
      <c r="F177" s="61"/>
      <c r="G177" s="61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3"/>
      <c r="AB177" s="143"/>
      <c r="AC177" s="142"/>
      <c r="AD177" s="142"/>
      <c r="AE177" s="142"/>
      <c r="AF177" s="142"/>
      <c r="AG177" s="142"/>
      <c r="AH177" s="142"/>
      <c r="AI177" s="142"/>
      <c r="AJ177" s="142"/>
    </row>
    <row r="178" ht="15.75" customHeight="1">
      <c r="A178" s="142"/>
      <c r="B178" s="142"/>
      <c r="C178" s="142"/>
      <c r="D178" s="146"/>
      <c r="E178" s="61"/>
      <c r="F178" s="61"/>
      <c r="G178" s="61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3"/>
      <c r="AB178" s="143"/>
      <c r="AC178" s="142"/>
      <c r="AD178" s="142"/>
      <c r="AE178" s="142"/>
      <c r="AF178" s="142"/>
      <c r="AG178" s="142"/>
      <c r="AH178" s="142"/>
      <c r="AI178" s="142"/>
      <c r="AJ178" s="142"/>
    </row>
    <row r="179" ht="15.75" customHeight="1">
      <c r="A179" s="142"/>
      <c r="B179" s="142"/>
      <c r="C179" s="142"/>
      <c r="D179" s="146"/>
      <c r="E179" s="61"/>
      <c r="F179" s="61"/>
      <c r="G179" s="61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3"/>
      <c r="AB179" s="143"/>
      <c r="AC179" s="142"/>
      <c r="AD179" s="142"/>
      <c r="AE179" s="142"/>
      <c r="AF179" s="142"/>
      <c r="AG179" s="142"/>
      <c r="AH179" s="142"/>
      <c r="AI179" s="142"/>
      <c r="AJ179" s="142"/>
    </row>
    <row r="180" ht="15.75" customHeight="1">
      <c r="A180" s="142"/>
      <c r="B180" s="142"/>
      <c r="C180" s="142"/>
      <c r="D180" s="146"/>
      <c r="E180" s="61"/>
      <c r="F180" s="61"/>
      <c r="G180" s="61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3"/>
      <c r="AB180" s="143"/>
      <c r="AC180" s="142"/>
      <c r="AD180" s="142"/>
      <c r="AE180" s="142"/>
      <c r="AF180" s="142"/>
      <c r="AG180" s="142"/>
      <c r="AH180" s="142"/>
      <c r="AI180" s="142"/>
      <c r="AJ180" s="142"/>
    </row>
    <row r="181" ht="15.75" customHeight="1">
      <c r="A181" s="142"/>
      <c r="B181" s="142"/>
      <c r="C181" s="142"/>
      <c r="D181" s="146"/>
      <c r="E181" s="61"/>
      <c r="F181" s="61"/>
      <c r="G181" s="61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3"/>
      <c r="AB181" s="143"/>
      <c r="AC181" s="142"/>
      <c r="AD181" s="142"/>
      <c r="AE181" s="142"/>
      <c r="AF181" s="142"/>
      <c r="AG181" s="142"/>
      <c r="AH181" s="142"/>
      <c r="AI181" s="142"/>
      <c r="AJ181" s="142"/>
    </row>
    <row r="182" ht="15.75" customHeight="1">
      <c r="A182" s="142"/>
      <c r="B182" s="142"/>
      <c r="C182" s="142"/>
      <c r="D182" s="146"/>
      <c r="E182" s="61"/>
      <c r="F182" s="61"/>
      <c r="G182" s="61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3"/>
      <c r="AB182" s="143"/>
      <c r="AC182" s="142"/>
      <c r="AD182" s="142"/>
      <c r="AE182" s="142"/>
      <c r="AF182" s="142"/>
      <c r="AG182" s="142"/>
      <c r="AH182" s="142"/>
      <c r="AI182" s="142"/>
      <c r="AJ182" s="142"/>
    </row>
    <row r="183" ht="15.75" customHeight="1">
      <c r="A183" s="142"/>
      <c r="B183" s="142"/>
      <c r="C183" s="142"/>
      <c r="D183" s="146"/>
      <c r="E183" s="61"/>
      <c r="F183" s="61"/>
      <c r="G183" s="61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3"/>
      <c r="AB183" s="143"/>
      <c r="AC183" s="142"/>
      <c r="AD183" s="142"/>
      <c r="AE183" s="142"/>
      <c r="AF183" s="142"/>
      <c r="AG183" s="142"/>
      <c r="AH183" s="142"/>
      <c r="AI183" s="142"/>
      <c r="AJ183" s="142"/>
    </row>
    <row r="184" ht="15.75" customHeight="1">
      <c r="A184" s="142"/>
      <c r="B184" s="142"/>
      <c r="C184" s="142"/>
      <c r="D184" s="146"/>
      <c r="E184" s="61"/>
      <c r="F184" s="61"/>
      <c r="G184" s="61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3"/>
      <c r="AB184" s="143"/>
      <c r="AC184" s="142"/>
      <c r="AD184" s="142"/>
      <c r="AE184" s="142"/>
      <c r="AF184" s="142"/>
      <c r="AG184" s="142"/>
      <c r="AH184" s="142"/>
      <c r="AI184" s="142"/>
      <c r="AJ184" s="142"/>
    </row>
    <row r="185" ht="15.75" customHeight="1">
      <c r="A185" s="142"/>
      <c r="B185" s="142"/>
      <c r="C185" s="142"/>
      <c r="D185" s="146"/>
      <c r="E185" s="61"/>
      <c r="F185" s="61"/>
      <c r="G185" s="61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3"/>
      <c r="AB185" s="143"/>
      <c r="AC185" s="142"/>
      <c r="AD185" s="142"/>
      <c r="AE185" s="142"/>
      <c r="AF185" s="142"/>
      <c r="AG185" s="142"/>
      <c r="AH185" s="142"/>
      <c r="AI185" s="142"/>
      <c r="AJ185" s="142"/>
    </row>
    <row r="186" ht="15.75" customHeight="1">
      <c r="A186" s="142"/>
      <c r="B186" s="142"/>
      <c r="C186" s="142"/>
      <c r="D186" s="146"/>
      <c r="E186" s="61"/>
      <c r="F186" s="61"/>
      <c r="G186" s="61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3"/>
      <c r="AB186" s="143"/>
      <c r="AC186" s="142"/>
      <c r="AD186" s="142"/>
      <c r="AE186" s="142"/>
      <c r="AF186" s="142"/>
      <c r="AG186" s="142"/>
      <c r="AH186" s="142"/>
      <c r="AI186" s="142"/>
      <c r="AJ186" s="142"/>
    </row>
    <row r="187" ht="15.75" customHeight="1">
      <c r="A187" s="142"/>
      <c r="B187" s="142"/>
      <c r="C187" s="142"/>
      <c r="D187" s="146"/>
      <c r="E187" s="61"/>
      <c r="F187" s="61"/>
      <c r="G187" s="61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3"/>
      <c r="AB187" s="143"/>
      <c r="AC187" s="142"/>
      <c r="AD187" s="142"/>
      <c r="AE187" s="142"/>
      <c r="AF187" s="142"/>
      <c r="AG187" s="142"/>
      <c r="AH187" s="142"/>
      <c r="AI187" s="142"/>
      <c r="AJ187" s="142"/>
    </row>
    <row r="188" ht="15.75" customHeight="1">
      <c r="A188" s="142"/>
      <c r="B188" s="142"/>
      <c r="C188" s="142"/>
      <c r="D188" s="146"/>
      <c r="E188" s="61"/>
      <c r="F188" s="61"/>
      <c r="G188" s="61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3"/>
      <c r="AB188" s="143"/>
      <c r="AC188" s="142"/>
      <c r="AD188" s="142"/>
      <c r="AE188" s="142"/>
      <c r="AF188" s="142"/>
      <c r="AG188" s="142"/>
      <c r="AH188" s="142"/>
      <c r="AI188" s="142"/>
      <c r="AJ188" s="142"/>
    </row>
    <row r="189" ht="15.75" customHeight="1">
      <c r="A189" s="142"/>
      <c r="B189" s="142"/>
      <c r="C189" s="142"/>
      <c r="D189" s="146"/>
      <c r="E189" s="61"/>
      <c r="F189" s="61"/>
      <c r="G189" s="61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3"/>
      <c r="AB189" s="143"/>
      <c r="AC189" s="142"/>
      <c r="AD189" s="142"/>
      <c r="AE189" s="142"/>
      <c r="AF189" s="142"/>
      <c r="AG189" s="142"/>
      <c r="AH189" s="142"/>
      <c r="AI189" s="142"/>
      <c r="AJ189" s="142"/>
    </row>
    <row r="190" ht="15.75" customHeight="1">
      <c r="A190" s="142"/>
      <c r="B190" s="142"/>
      <c r="C190" s="142"/>
      <c r="D190" s="146"/>
      <c r="E190" s="61"/>
      <c r="F190" s="61"/>
      <c r="G190" s="61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3"/>
      <c r="AB190" s="143"/>
      <c r="AC190" s="142"/>
      <c r="AD190" s="142"/>
      <c r="AE190" s="142"/>
      <c r="AF190" s="142"/>
      <c r="AG190" s="142"/>
      <c r="AH190" s="142"/>
      <c r="AI190" s="142"/>
      <c r="AJ190" s="142"/>
    </row>
    <row r="191" ht="15.75" customHeight="1">
      <c r="A191" s="142"/>
      <c r="B191" s="142"/>
      <c r="C191" s="142"/>
      <c r="D191" s="146"/>
      <c r="E191" s="61"/>
      <c r="F191" s="61"/>
      <c r="G191" s="61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3"/>
      <c r="AB191" s="143"/>
      <c r="AC191" s="142"/>
      <c r="AD191" s="142"/>
      <c r="AE191" s="142"/>
      <c r="AF191" s="142"/>
      <c r="AG191" s="142"/>
      <c r="AH191" s="142"/>
      <c r="AI191" s="142"/>
      <c r="AJ191" s="142"/>
    </row>
    <row r="192" ht="15.75" customHeight="1">
      <c r="A192" s="142"/>
      <c r="B192" s="142"/>
      <c r="C192" s="142"/>
      <c r="D192" s="146"/>
      <c r="E192" s="61"/>
      <c r="F192" s="61"/>
      <c r="G192" s="61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3"/>
      <c r="AB192" s="143"/>
      <c r="AC192" s="142"/>
      <c r="AD192" s="142"/>
      <c r="AE192" s="142"/>
      <c r="AF192" s="142"/>
      <c r="AG192" s="142"/>
      <c r="AH192" s="142"/>
      <c r="AI192" s="142"/>
      <c r="AJ192" s="142"/>
    </row>
    <row r="193" ht="15.75" customHeight="1">
      <c r="A193" s="142"/>
      <c r="B193" s="142"/>
      <c r="C193" s="142"/>
      <c r="D193" s="146"/>
      <c r="E193" s="61"/>
      <c r="F193" s="61"/>
      <c r="G193" s="61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3"/>
      <c r="AB193" s="143"/>
      <c r="AC193" s="142"/>
      <c r="AD193" s="142"/>
      <c r="AE193" s="142"/>
      <c r="AF193" s="142"/>
      <c r="AG193" s="142"/>
      <c r="AH193" s="142"/>
      <c r="AI193" s="142"/>
      <c r="AJ193" s="142"/>
    </row>
    <row r="194" ht="15.75" customHeight="1">
      <c r="A194" s="142"/>
      <c r="B194" s="142"/>
      <c r="C194" s="142"/>
      <c r="D194" s="146"/>
      <c r="E194" s="61"/>
      <c r="F194" s="61"/>
      <c r="G194" s="61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3"/>
      <c r="AB194" s="143"/>
      <c r="AC194" s="142"/>
      <c r="AD194" s="142"/>
      <c r="AE194" s="142"/>
      <c r="AF194" s="142"/>
      <c r="AG194" s="142"/>
      <c r="AH194" s="142"/>
      <c r="AI194" s="142"/>
      <c r="AJ194" s="142"/>
    </row>
    <row r="195" ht="15.75" customHeight="1">
      <c r="A195" s="142"/>
      <c r="B195" s="142"/>
      <c r="C195" s="142"/>
      <c r="D195" s="146"/>
      <c r="E195" s="61"/>
      <c r="F195" s="61"/>
      <c r="G195" s="61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3"/>
      <c r="AB195" s="143"/>
      <c r="AC195" s="142"/>
      <c r="AD195" s="142"/>
      <c r="AE195" s="142"/>
      <c r="AF195" s="142"/>
      <c r="AG195" s="142"/>
      <c r="AH195" s="142"/>
      <c r="AI195" s="142"/>
      <c r="AJ195" s="142"/>
    </row>
    <row r="196" ht="15.75" customHeight="1">
      <c r="A196" s="142"/>
      <c r="B196" s="142"/>
      <c r="C196" s="142"/>
      <c r="D196" s="146"/>
      <c r="E196" s="61"/>
      <c r="F196" s="61"/>
      <c r="G196" s="61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3"/>
      <c r="AB196" s="143"/>
      <c r="AC196" s="142"/>
      <c r="AD196" s="142"/>
      <c r="AE196" s="142"/>
      <c r="AF196" s="142"/>
      <c r="AG196" s="142"/>
      <c r="AH196" s="142"/>
      <c r="AI196" s="142"/>
      <c r="AJ196" s="142"/>
    </row>
    <row r="197" ht="15.75" customHeight="1">
      <c r="A197" s="142"/>
      <c r="B197" s="142"/>
      <c r="C197" s="142"/>
      <c r="D197" s="146"/>
      <c r="E197" s="61"/>
      <c r="F197" s="61"/>
      <c r="G197" s="61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3"/>
      <c r="AB197" s="143"/>
      <c r="AC197" s="142"/>
      <c r="AD197" s="142"/>
      <c r="AE197" s="142"/>
      <c r="AF197" s="142"/>
      <c r="AG197" s="142"/>
      <c r="AH197" s="142"/>
      <c r="AI197" s="142"/>
      <c r="AJ197" s="142"/>
    </row>
    <row r="198" ht="15.75" customHeight="1">
      <c r="A198" s="142"/>
      <c r="B198" s="142"/>
      <c r="C198" s="142"/>
      <c r="D198" s="146"/>
      <c r="E198" s="61"/>
      <c r="F198" s="61"/>
      <c r="G198" s="61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3"/>
      <c r="AB198" s="143"/>
      <c r="AC198" s="142"/>
      <c r="AD198" s="142"/>
      <c r="AE198" s="142"/>
      <c r="AF198" s="142"/>
      <c r="AG198" s="142"/>
      <c r="AH198" s="142"/>
      <c r="AI198" s="142"/>
      <c r="AJ198" s="142"/>
    </row>
    <row r="199" ht="15.75" customHeight="1">
      <c r="A199" s="142"/>
      <c r="B199" s="142"/>
      <c r="C199" s="142"/>
      <c r="D199" s="146"/>
      <c r="E199" s="61"/>
      <c r="F199" s="61"/>
      <c r="G199" s="61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3"/>
      <c r="AB199" s="143"/>
      <c r="AC199" s="142"/>
      <c r="AD199" s="142"/>
      <c r="AE199" s="142"/>
      <c r="AF199" s="142"/>
      <c r="AG199" s="142"/>
      <c r="AH199" s="142"/>
      <c r="AI199" s="142"/>
      <c r="AJ199" s="142"/>
    </row>
    <row r="200" ht="15.75" customHeight="1">
      <c r="A200" s="142"/>
      <c r="B200" s="142"/>
      <c r="C200" s="142"/>
      <c r="D200" s="146"/>
      <c r="E200" s="61"/>
      <c r="F200" s="61"/>
      <c r="G200" s="61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3"/>
      <c r="AB200" s="143"/>
      <c r="AC200" s="142"/>
      <c r="AD200" s="142"/>
      <c r="AE200" s="142"/>
      <c r="AF200" s="142"/>
      <c r="AG200" s="142"/>
      <c r="AH200" s="142"/>
      <c r="AI200" s="142"/>
      <c r="AJ200" s="142"/>
    </row>
    <row r="201" ht="15.75" customHeight="1">
      <c r="A201" s="142"/>
      <c r="B201" s="142"/>
      <c r="C201" s="142"/>
      <c r="D201" s="146"/>
      <c r="E201" s="61"/>
      <c r="F201" s="61"/>
      <c r="G201" s="61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3"/>
      <c r="AB201" s="143"/>
      <c r="AC201" s="142"/>
      <c r="AD201" s="142"/>
      <c r="AE201" s="142"/>
      <c r="AF201" s="142"/>
      <c r="AG201" s="142"/>
      <c r="AH201" s="142"/>
      <c r="AI201" s="142"/>
      <c r="AJ201" s="142"/>
    </row>
    <row r="202" ht="15.75" customHeight="1">
      <c r="A202" s="142"/>
      <c r="B202" s="142"/>
      <c r="C202" s="142"/>
      <c r="D202" s="146"/>
      <c r="E202" s="61"/>
      <c r="F202" s="61"/>
      <c r="G202" s="61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3"/>
      <c r="AB202" s="143"/>
      <c r="AC202" s="142"/>
      <c r="AD202" s="142"/>
      <c r="AE202" s="142"/>
      <c r="AF202" s="142"/>
      <c r="AG202" s="142"/>
      <c r="AH202" s="142"/>
      <c r="AI202" s="142"/>
      <c r="AJ202" s="142"/>
    </row>
    <row r="203" ht="15.75" customHeight="1">
      <c r="A203" s="142"/>
      <c r="B203" s="142"/>
      <c r="C203" s="142"/>
      <c r="D203" s="146"/>
      <c r="E203" s="61"/>
      <c r="F203" s="61"/>
      <c r="G203" s="61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3"/>
      <c r="AB203" s="143"/>
      <c r="AC203" s="142"/>
      <c r="AD203" s="142"/>
      <c r="AE203" s="142"/>
      <c r="AF203" s="142"/>
      <c r="AG203" s="142"/>
      <c r="AH203" s="142"/>
      <c r="AI203" s="142"/>
      <c r="AJ203" s="142"/>
    </row>
    <row r="204" ht="15.75" customHeight="1">
      <c r="A204" s="142"/>
      <c r="B204" s="142"/>
      <c r="C204" s="142"/>
      <c r="D204" s="146"/>
      <c r="E204" s="61"/>
      <c r="F204" s="61"/>
      <c r="G204" s="61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3"/>
      <c r="AB204" s="143"/>
      <c r="AC204" s="142"/>
      <c r="AD204" s="142"/>
      <c r="AE204" s="142"/>
      <c r="AF204" s="142"/>
      <c r="AG204" s="142"/>
      <c r="AH204" s="142"/>
      <c r="AI204" s="142"/>
      <c r="AJ204" s="142"/>
    </row>
    <row r="205" ht="15.75" customHeight="1">
      <c r="A205" s="142"/>
      <c r="B205" s="142"/>
      <c r="C205" s="142"/>
      <c r="D205" s="146"/>
      <c r="E205" s="61"/>
      <c r="F205" s="61"/>
      <c r="G205" s="61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3"/>
      <c r="AB205" s="143"/>
      <c r="AC205" s="142"/>
      <c r="AD205" s="142"/>
      <c r="AE205" s="142"/>
      <c r="AF205" s="142"/>
      <c r="AG205" s="142"/>
      <c r="AH205" s="142"/>
      <c r="AI205" s="142"/>
      <c r="AJ205" s="142"/>
    </row>
    <row r="206" ht="15.75" customHeight="1">
      <c r="A206" s="142"/>
      <c r="B206" s="142"/>
      <c r="C206" s="142"/>
      <c r="D206" s="146"/>
      <c r="E206" s="61"/>
      <c r="F206" s="61"/>
      <c r="G206" s="61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3"/>
      <c r="AB206" s="143"/>
      <c r="AC206" s="142"/>
      <c r="AD206" s="142"/>
      <c r="AE206" s="142"/>
      <c r="AF206" s="142"/>
      <c r="AG206" s="142"/>
      <c r="AH206" s="142"/>
      <c r="AI206" s="142"/>
      <c r="AJ206" s="142"/>
    </row>
    <row r="207" ht="15.75" customHeight="1">
      <c r="A207" s="142"/>
      <c r="B207" s="142"/>
      <c r="C207" s="142"/>
      <c r="D207" s="146"/>
      <c r="E207" s="61"/>
      <c r="F207" s="61"/>
      <c r="G207" s="61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3"/>
      <c r="AB207" s="143"/>
      <c r="AC207" s="142"/>
      <c r="AD207" s="142"/>
      <c r="AE207" s="142"/>
      <c r="AF207" s="142"/>
      <c r="AG207" s="142"/>
      <c r="AH207" s="142"/>
      <c r="AI207" s="142"/>
      <c r="AJ207" s="142"/>
    </row>
    <row r="208" ht="15.75" customHeight="1">
      <c r="A208" s="142"/>
      <c r="B208" s="142"/>
      <c r="C208" s="142"/>
      <c r="D208" s="146"/>
      <c r="E208" s="61"/>
      <c r="F208" s="61"/>
      <c r="G208" s="61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3"/>
      <c r="AB208" s="143"/>
      <c r="AC208" s="142"/>
      <c r="AD208" s="142"/>
      <c r="AE208" s="142"/>
      <c r="AF208" s="142"/>
      <c r="AG208" s="142"/>
      <c r="AH208" s="142"/>
      <c r="AI208" s="142"/>
      <c r="AJ208" s="142"/>
    </row>
    <row r="209" ht="15.75" customHeight="1">
      <c r="A209" s="142"/>
      <c r="B209" s="142"/>
      <c r="C209" s="142"/>
      <c r="D209" s="146"/>
      <c r="E209" s="61"/>
      <c r="F209" s="61"/>
      <c r="G209" s="61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3"/>
      <c r="AB209" s="143"/>
      <c r="AC209" s="142"/>
      <c r="AD209" s="142"/>
      <c r="AE209" s="142"/>
      <c r="AF209" s="142"/>
      <c r="AG209" s="142"/>
      <c r="AH209" s="142"/>
      <c r="AI209" s="142"/>
      <c r="AJ209" s="142"/>
    </row>
    <row r="210" ht="15.75" customHeight="1">
      <c r="A210" s="142"/>
      <c r="B210" s="142"/>
      <c r="C210" s="142"/>
      <c r="D210" s="146"/>
      <c r="E210" s="61"/>
      <c r="F210" s="61"/>
      <c r="G210" s="61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3"/>
      <c r="AB210" s="143"/>
      <c r="AC210" s="142"/>
      <c r="AD210" s="142"/>
      <c r="AE210" s="142"/>
      <c r="AF210" s="142"/>
      <c r="AG210" s="142"/>
      <c r="AH210" s="142"/>
      <c r="AI210" s="142"/>
      <c r="AJ210" s="142"/>
    </row>
    <row r="211" ht="15.75" customHeight="1">
      <c r="A211" s="142"/>
      <c r="B211" s="142"/>
      <c r="C211" s="142"/>
      <c r="D211" s="146"/>
      <c r="E211" s="61"/>
      <c r="F211" s="61"/>
      <c r="G211" s="61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3"/>
      <c r="AB211" s="143"/>
      <c r="AC211" s="142"/>
      <c r="AD211" s="142"/>
      <c r="AE211" s="142"/>
      <c r="AF211" s="142"/>
      <c r="AG211" s="142"/>
      <c r="AH211" s="142"/>
      <c r="AI211" s="142"/>
      <c r="AJ211" s="142"/>
    </row>
    <row r="212" ht="15.75" customHeight="1">
      <c r="A212" s="142"/>
      <c r="B212" s="142"/>
      <c r="C212" s="142"/>
      <c r="D212" s="146"/>
      <c r="E212" s="61"/>
      <c r="F212" s="61"/>
      <c r="G212" s="61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3"/>
      <c r="AB212" s="143"/>
      <c r="AC212" s="142"/>
      <c r="AD212" s="142"/>
      <c r="AE212" s="142"/>
      <c r="AF212" s="142"/>
      <c r="AG212" s="142"/>
      <c r="AH212" s="142"/>
      <c r="AI212" s="142"/>
      <c r="AJ212" s="142"/>
    </row>
    <row r="213" ht="15.75" customHeight="1">
      <c r="A213" s="142"/>
      <c r="B213" s="142"/>
      <c r="C213" s="142"/>
      <c r="D213" s="146"/>
      <c r="E213" s="61"/>
      <c r="F213" s="61"/>
      <c r="G213" s="61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3"/>
      <c r="AB213" s="143"/>
      <c r="AC213" s="142"/>
      <c r="AD213" s="142"/>
      <c r="AE213" s="142"/>
      <c r="AF213" s="142"/>
      <c r="AG213" s="142"/>
      <c r="AH213" s="142"/>
      <c r="AI213" s="142"/>
      <c r="AJ213" s="142"/>
    </row>
    <row r="214" ht="15.75" customHeight="1">
      <c r="A214" s="142"/>
      <c r="B214" s="142"/>
      <c r="C214" s="142"/>
      <c r="D214" s="146"/>
      <c r="E214" s="61"/>
      <c r="F214" s="61"/>
      <c r="G214" s="61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3"/>
      <c r="AB214" s="143"/>
      <c r="AC214" s="142"/>
      <c r="AD214" s="142"/>
      <c r="AE214" s="142"/>
      <c r="AF214" s="142"/>
      <c r="AG214" s="142"/>
      <c r="AH214" s="142"/>
      <c r="AI214" s="142"/>
      <c r="AJ214" s="142"/>
    </row>
    <row r="215" ht="15.75" customHeight="1">
      <c r="A215" s="142"/>
      <c r="B215" s="142"/>
      <c r="C215" s="142"/>
      <c r="D215" s="146"/>
      <c r="E215" s="61"/>
      <c r="F215" s="61"/>
      <c r="G215" s="61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3"/>
      <c r="AB215" s="143"/>
      <c r="AC215" s="142"/>
      <c r="AD215" s="142"/>
      <c r="AE215" s="142"/>
      <c r="AF215" s="142"/>
      <c r="AG215" s="142"/>
      <c r="AH215" s="142"/>
      <c r="AI215" s="142"/>
      <c r="AJ215" s="142"/>
    </row>
    <row r="216" ht="15.75" customHeight="1">
      <c r="A216" s="142"/>
      <c r="B216" s="142"/>
      <c r="C216" s="142"/>
      <c r="D216" s="146"/>
      <c r="E216" s="61"/>
      <c r="F216" s="61"/>
      <c r="G216" s="61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3"/>
      <c r="AB216" s="143"/>
      <c r="AC216" s="142"/>
      <c r="AD216" s="142"/>
      <c r="AE216" s="142"/>
      <c r="AF216" s="142"/>
      <c r="AG216" s="142"/>
      <c r="AH216" s="142"/>
      <c r="AI216" s="142"/>
      <c r="AJ216" s="142"/>
    </row>
    <row r="217" ht="15.75" customHeight="1">
      <c r="A217" s="142"/>
      <c r="B217" s="142"/>
      <c r="C217" s="142"/>
      <c r="D217" s="146"/>
      <c r="E217" s="61"/>
      <c r="F217" s="61"/>
      <c r="G217" s="61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3"/>
      <c r="AB217" s="143"/>
      <c r="AC217" s="142"/>
      <c r="AD217" s="142"/>
      <c r="AE217" s="142"/>
      <c r="AF217" s="142"/>
      <c r="AG217" s="142"/>
      <c r="AH217" s="142"/>
      <c r="AI217" s="142"/>
      <c r="AJ217" s="142"/>
    </row>
    <row r="218" ht="15.75" customHeight="1">
      <c r="A218" s="142"/>
      <c r="B218" s="142"/>
      <c r="C218" s="142"/>
      <c r="D218" s="146"/>
      <c r="E218" s="61"/>
      <c r="F218" s="61"/>
      <c r="G218" s="61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3"/>
      <c r="AB218" s="143"/>
      <c r="AC218" s="142"/>
      <c r="AD218" s="142"/>
      <c r="AE218" s="142"/>
      <c r="AF218" s="142"/>
      <c r="AG218" s="142"/>
      <c r="AH218" s="142"/>
      <c r="AI218" s="142"/>
      <c r="AJ218" s="142"/>
    </row>
    <row r="219" ht="15.75" customHeight="1">
      <c r="A219" s="142"/>
      <c r="B219" s="142"/>
      <c r="C219" s="142"/>
      <c r="D219" s="146"/>
      <c r="E219" s="61"/>
      <c r="F219" s="61"/>
      <c r="G219" s="61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3"/>
      <c r="AB219" s="143"/>
      <c r="AC219" s="142"/>
      <c r="AD219" s="142"/>
      <c r="AE219" s="142"/>
      <c r="AF219" s="142"/>
      <c r="AG219" s="142"/>
      <c r="AH219" s="142"/>
      <c r="AI219" s="142"/>
      <c r="AJ219" s="142"/>
    </row>
    <row r="220" ht="15.75" customHeight="1">
      <c r="A220" s="142"/>
      <c r="B220" s="142"/>
      <c r="C220" s="142"/>
      <c r="D220" s="146"/>
      <c r="E220" s="61"/>
      <c r="F220" s="61"/>
      <c r="G220" s="61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3"/>
      <c r="AB220" s="143"/>
      <c r="AC220" s="142"/>
      <c r="AD220" s="142"/>
      <c r="AE220" s="142"/>
      <c r="AF220" s="142"/>
      <c r="AG220" s="142"/>
      <c r="AH220" s="142"/>
      <c r="AI220" s="142"/>
      <c r="AJ220" s="142"/>
    </row>
    <row r="221" ht="15.75" customHeight="1">
      <c r="A221" s="142"/>
      <c r="B221" s="142"/>
      <c r="C221" s="142"/>
      <c r="D221" s="146"/>
      <c r="E221" s="61"/>
      <c r="F221" s="61"/>
      <c r="G221" s="61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3"/>
      <c r="AB221" s="143"/>
      <c r="AC221" s="142"/>
      <c r="AD221" s="142"/>
      <c r="AE221" s="142"/>
      <c r="AF221" s="142"/>
      <c r="AG221" s="142"/>
      <c r="AH221" s="142"/>
      <c r="AI221" s="142"/>
      <c r="AJ221" s="142"/>
    </row>
    <row r="222" ht="15.75" customHeight="1">
      <c r="A222" s="142"/>
      <c r="B222" s="142"/>
      <c r="C222" s="142"/>
      <c r="D222" s="146"/>
      <c r="E222" s="61"/>
      <c r="F222" s="61"/>
      <c r="G222" s="61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3"/>
      <c r="AB222" s="143"/>
      <c r="AC222" s="142"/>
      <c r="AD222" s="142"/>
      <c r="AE222" s="142"/>
      <c r="AF222" s="142"/>
      <c r="AG222" s="142"/>
      <c r="AH222" s="142"/>
      <c r="AI222" s="142"/>
      <c r="AJ222" s="142"/>
    </row>
    <row r="223" ht="15.75" customHeight="1">
      <c r="A223" s="142"/>
      <c r="B223" s="142"/>
      <c r="C223" s="142"/>
      <c r="D223" s="146"/>
      <c r="E223" s="61"/>
      <c r="F223" s="61"/>
      <c r="G223" s="61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3"/>
      <c r="AB223" s="143"/>
      <c r="AC223" s="142"/>
      <c r="AD223" s="142"/>
      <c r="AE223" s="142"/>
      <c r="AF223" s="142"/>
      <c r="AG223" s="142"/>
      <c r="AH223" s="142"/>
      <c r="AI223" s="142"/>
      <c r="AJ223" s="142"/>
    </row>
    <row r="224" ht="15.75" customHeight="1">
      <c r="A224" s="142"/>
      <c r="B224" s="142"/>
      <c r="C224" s="142"/>
      <c r="D224" s="146"/>
      <c r="E224" s="61"/>
      <c r="F224" s="61"/>
      <c r="G224" s="61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3"/>
      <c r="AB224" s="143"/>
      <c r="AC224" s="142"/>
      <c r="AD224" s="142"/>
      <c r="AE224" s="142"/>
      <c r="AF224" s="142"/>
      <c r="AG224" s="142"/>
      <c r="AH224" s="142"/>
      <c r="AI224" s="142"/>
      <c r="AJ224" s="142"/>
    </row>
    <row r="225" ht="15.75" customHeight="1">
      <c r="A225" s="142"/>
      <c r="B225" s="142"/>
      <c r="C225" s="142"/>
      <c r="D225" s="146"/>
      <c r="E225" s="61"/>
      <c r="F225" s="61"/>
      <c r="G225" s="61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3"/>
      <c r="AB225" s="143"/>
      <c r="AC225" s="142"/>
      <c r="AD225" s="142"/>
      <c r="AE225" s="142"/>
      <c r="AF225" s="142"/>
      <c r="AG225" s="142"/>
      <c r="AH225" s="142"/>
      <c r="AI225" s="142"/>
      <c r="AJ225" s="142"/>
    </row>
    <row r="226" ht="15.75" customHeight="1">
      <c r="A226" s="142"/>
      <c r="B226" s="142"/>
      <c r="C226" s="142"/>
      <c r="D226" s="146"/>
      <c r="E226" s="61"/>
      <c r="F226" s="61"/>
      <c r="G226" s="61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3"/>
      <c r="AB226" s="143"/>
      <c r="AC226" s="142"/>
      <c r="AD226" s="142"/>
      <c r="AE226" s="142"/>
      <c r="AF226" s="142"/>
      <c r="AG226" s="142"/>
      <c r="AH226" s="142"/>
      <c r="AI226" s="142"/>
      <c r="AJ226" s="142"/>
    </row>
    <row r="227" ht="15.75" customHeight="1">
      <c r="A227" s="142"/>
      <c r="B227" s="142"/>
      <c r="C227" s="142"/>
      <c r="D227" s="146"/>
      <c r="E227" s="61"/>
      <c r="F227" s="61"/>
      <c r="G227" s="61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3"/>
      <c r="AB227" s="143"/>
      <c r="AC227" s="142"/>
      <c r="AD227" s="142"/>
      <c r="AE227" s="142"/>
      <c r="AF227" s="142"/>
      <c r="AG227" s="142"/>
      <c r="AH227" s="142"/>
      <c r="AI227" s="142"/>
      <c r="AJ227" s="142"/>
    </row>
    <row r="228" ht="15.75" customHeight="1">
      <c r="A228" s="142"/>
      <c r="B228" s="142"/>
      <c r="C228" s="142"/>
      <c r="D228" s="146"/>
      <c r="E228" s="61"/>
      <c r="F228" s="61"/>
      <c r="G228" s="61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3"/>
      <c r="AB228" s="143"/>
      <c r="AC228" s="142"/>
      <c r="AD228" s="142"/>
      <c r="AE228" s="142"/>
      <c r="AF228" s="142"/>
      <c r="AG228" s="142"/>
      <c r="AH228" s="142"/>
      <c r="AI228" s="142"/>
      <c r="AJ228" s="142"/>
    </row>
    <row r="229" ht="15.75" customHeight="1">
      <c r="A229" s="142"/>
      <c r="B229" s="142"/>
      <c r="C229" s="142"/>
      <c r="D229" s="146"/>
      <c r="E229" s="61"/>
      <c r="F229" s="61"/>
      <c r="G229" s="61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3"/>
      <c r="AB229" s="143"/>
      <c r="AC229" s="142"/>
      <c r="AD229" s="142"/>
      <c r="AE229" s="142"/>
      <c r="AF229" s="142"/>
      <c r="AG229" s="142"/>
      <c r="AH229" s="142"/>
      <c r="AI229" s="142"/>
      <c r="AJ229" s="142"/>
    </row>
    <row r="230" ht="15.75" customHeight="1">
      <c r="A230" s="142"/>
      <c r="B230" s="142"/>
      <c r="C230" s="142"/>
      <c r="D230" s="146"/>
      <c r="E230" s="61"/>
      <c r="F230" s="61"/>
      <c r="G230" s="61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3"/>
      <c r="AB230" s="143"/>
      <c r="AC230" s="142"/>
      <c r="AD230" s="142"/>
      <c r="AE230" s="142"/>
      <c r="AF230" s="142"/>
      <c r="AG230" s="142"/>
      <c r="AH230" s="142"/>
      <c r="AI230" s="142"/>
      <c r="AJ230" s="142"/>
    </row>
    <row r="231" ht="15.75" customHeight="1">
      <c r="A231" s="142"/>
      <c r="B231" s="142"/>
      <c r="C231" s="142"/>
      <c r="D231" s="146"/>
      <c r="E231" s="61"/>
      <c r="F231" s="61"/>
      <c r="G231" s="61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  <c r="AA231" s="143"/>
      <c r="AB231" s="143"/>
      <c r="AC231" s="142"/>
      <c r="AD231" s="142"/>
      <c r="AE231" s="142"/>
      <c r="AF231" s="142"/>
      <c r="AG231" s="142"/>
      <c r="AH231" s="142"/>
      <c r="AI231" s="142"/>
      <c r="AJ231" s="142"/>
    </row>
    <row r="232" ht="15.75" customHeight="1">
      <c r="A232" s="142"/>
      <c r="B232" s="142"/>
      <c r="C232" s="142"/>
      <c r="D232" s="146"/>
      <c r="E232" s="61"/>
      <c r="F232" s="61"/>
      <c r="G232" s="61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3"/>
      <c r="AB232" s="143"/>
      <c r="AC232" s="142"/>
      <c r="AD232" s="142"/>
      <c r="AE232" s="142"/>
      <c r="AF232" s="142"/>
      <c r="AG232" s="142"/>
      <c r="AH232" s="142"/>
      <c r="AI232" s="142"/>
      <c r="AJ232" s="142"/>
    </row>
    <row r="233" ht="15.75" customHeight="1">
      <c r="A233" s="142"/>
      <c r="B233" s="142"/>
      <c r="C233" s="142"/>
      <c r="D233" s="146"/>
      <c r="E233" s="61"/>
      <c r="F233" s="61"/>
      <c r="G233" s="61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  <c r="AA233" s="143"/>
      <c r="AB233" s="143"/>
      <c r="AC233" s="142"/>
      <c r="AD233" s="142"/>
      <c r="AE233" s="142"/>
      <c r="AF233" s="142"/>
      <c r="AG233" s="142"/>
      <c r="AH233" s="142"/>
      <c r="AI233" s="142"/>
      <c r="AJ233" s="142"/>
    </row>
    <row r="234" ht="15.75" customHeight="1">
      <c r="A234" s="142"/>
      <c r="B234" s="142"/>
      <c r="C234" s="142"/>
      <c r="D234" s="146"/>
      <c r="E234" s="61"/>
      <c r="F234" s="61"/>
      <c r="G234" s="61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  <c r="AA234" s="143"/>
      <c r="AB234" s="143"/>
      <c r="AC234" s="142"/>
      <c r="AD234" s="142"/>
      <c r="AE234" s="142"/>
      <c r="AF234" s="142"/>
      <c r="AG234" s="142"/>
      <c r="AH234" s="142"/>
      <c r="AI234" s="142"/>
      <c r="AJ234" s="142"/>
    </row>
    <row r="235" ht="15.75" customHeight="1">
      <c r="A235" s="142"/>
      <c r="B235" s="142"/>
      <c r="C235" s="142"/>
      <c r="D235" s="146"/>
      <c r="E235" s="61"/>
      <c r="F235" s="61"/>
      <c r="G235" s="61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  <c r="AA235" s="143"/>
      <c r="AB235" s="143"/>
      <c r="AC235" s="142"/>
      <c r="AD235" s="142"/>
      <c r="AE235" s="142"/>
      <c r="AF235" s="142"/>
      <c r="AG235" s="142"/>
      <c r="AH235" s="142"/>
      <c r="AI235" s="142"/>
      <c r="AJ235" s="142"/>
    </row>
    <row r="236" ht="15.75" customHeight="1">
      <c r="A236" s="142"/>
      <c r="B236" s="142"/>
      <c r="C236" s="142"/>
      <c r="D236" s="146"/>
      <c r="E236" s="61"/>
      <c r="F236" s="61"/>
      <c r="G236" s="61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  <c r="AA236" s="143"/>
      <c r="AB236" s="143"/>
      <c r="AC236" s="142"/>
      <c r="AD236" s="142"/>
      <c r="AE236" s="142"/>
      <c r="AF236" s="142"/>
      <c r="AG236" s="142"/>
      <c r="AH236" s="142"/>
      <c r="AI236" s="142"/>
      <c r="AJ236" s="142"/>
    </row>
    <row r="237" ht="15.75" customHeight="1">
      <c r="A237" s="142"/>
      <c r="B237" s="142"/>
      <c r="C237" s="142"/>
      <c r="D237" s="146"/>
      <c r="E237" s="61"/>
      <c r="F237" s="61"/>
      <c r="G237" s="61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  <c r="AA237" s="143"/>
      <c r="AB237" s="143"/>
      <c r="AC237" s="142"/>
      <c r="AD237" s="142"/>
      <c r="AE237" s="142"/>
      <c r="AF237" s="142"/>
      <c r="AG237" s="142"/>
      <c r="AH237" s="142"/>
      <c r="AI237" s="142"/>
      <c r="AJ237" s="142"/>
    </row>
    <row r="238" ht="15.75" customHeight="1">
      <c r="A238" s="142"/>
      <c r="B238" s="142"/>
      <c r="C238" s="142"/>
      <c r="D238" s="146"/>
      <c r="E238" s="61"/>
      <c r="F238" s="61"/>
      <c r="G238" s="61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  <c r="AA238" s="143"/>
      <c r="AB238" s="143"/>
      <c r="AC238" s="142"/>
      <c r="AD238" s="142"/>
      <c r="AE238" s="142"/>
      <c r="AF238" s="142"/>
      <c r="AG238" s="142"/>
      <c r="AH238" s="142"/>
      <c r="AI238" s="142"/>
      <c r="AJ238" s="142"/>
    </row>
    <row r="239" ht="15.75" customHeight="1">
      <c r="A239" s="142"/>
      <c r="B239" s="142"/>
      <c r="C239" s="142"/>
      <c r="D239" s="146"/>
      <c r="E239" s="61"/>
      <c r="F239" s="61"/>
      <c r="G239" s="61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3"/>
      <c r="AB239" s="143"/>
      <c r="AC239" s="142"/>
      <c r="AD239" s="142"/>
      <c r="AE239" s="142"/>
      <c r="AF239" s="142"/>
      <c r="AG239" s="142"/>
      <c r="AH239" s="142"/>
      <c r="AI239" s="142"/>
      <c r="AJ239" s="142"/>
    </row>
    <row r="240" ht="15.75" customHeight="1">
      <c r="A240" s="142"/>
      <c r="B240" s="142"/>
      <c r="C240" s="142"/>
      <c r="D240" s="146"/>
      <c r="E240" s="61"/>
      <c r="F240" s="61"/>
      <c r="G240" s="61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3"/>
      <c r="AB240" s="143"/>
      <c r="AC240" s="142"/>
      <c r="AD240" s="142"/>
      <c r="AE240" s="142"/>
      <c r="AF240" s="142"/>
      <c r="AG240" s="142"/>
      <c r="AH240" s="142"/>
      <c r="AI240" s="142"/>
      <c r="AJ240" s="142"/>
    </row>
    <row r="241" ht="15.75" customHeight="1">
      <c r="A241" s="142"/>
      <c r="B241" s="142"/>
      <c r="C241" s="142"/>
      <c r="D241" s="146"/>
      <c r="E241" s="61"/>
      <c r="F241" s="61"/>
      <c r="G241" s="61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3"/>
      <c r="AB241" s="143"/>
      <c r="AC241" s="142"/>
      <c r="AD241" s="142"/>
      <c r="AE241" s="142"/>
      <c r="AF241" s="142"/>
      <c r="AG241" s="142"/>
      <c r="AH241" s="142"/>
      <c r="AI241" s="142"/>
      <c r="AJ241" s="142"/>
    </row>
    <row r="242" ht="15.75" customHeight="1">
      <c r="A242" s="142"/>
      <c r="B242" s="142"/>
      <c r="C242" s="142"/>
      <c r="D242" s="146"/>
      <c r="E242" s="61"/>
      <c r="F242" s="61"/>
      <c r="G242" s="61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3"/>
      <c r="AB242" s="143"/>
      <c r="AC242" s="142"/>
      <c r="AD242" s="142"/>
      <c r="AE242" s="142"/>
      <c r="AF242" s="142"/>
      <c r="AG242" s="142"/>
      <c r="AH242" s="142"/>
      <c r="AI242" s="142"/>
      <c r="AJ242" s="142"/>
    </row>
    <row r="243" ht="15.75" customHeight="1">
      <c r="A243" s="142"/>
      <c r="B243" s="142"/>
      <c r="C243" s="142"/>
      <c r="D243" s="146"/>
      <c r="E243" s="61"/>
      <c r="F243" s="61"/>
      <c r="G243" s="61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  <c r="AA243" s="143"/>
      <c r="AB243" s="143"/>
      <c r="AC243" s="142"/>
      <c r="AD243" s="142"/>
      <c r="AE243" s="142"/>
      <c r="AF243" s="142"/>
      <c r="AG243" s="142"/>
      <c r="AH243" s="142"/>
      <c r="AI243" s="142"/>
      <c r="AJ243" s="142"/>
    </row>
    <row r="244" ht="15.75" customHeight="1">
      <c r="A244" s="142"/>
      <c r="B244" s="142"/>
      <c r="C244" s="142"/>
      <c r="D244" s="146"/>
      <c r="E244" s="61"/>
      <c r="F244" s="61"/>
      <c r="G244" s="61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  <c r="AA244" s="143"/>
      <c r="AB244" s="143"/>
      <c r="AC244" s="142"/>
      <c r="AD244" s="142"/>
      <c r="AE244" s="142"/>
      <c r="AF244" s="142"/>
      <c r="AG244" s="142"/>
      <c r="AH244" s="142"/>
      <c r="AI244" s="142"/>
      <c r="AJ244" s="142"/>
    </row>
    <row r="245" ht="15.75" customHeight="1">
      <c r="A245" s="142"/>
      <c r="B245" s="142"/>
      <c r="C245" s="142"/>
      <c r="D245" s="146"/>
      <c r="E245" s="61"/>
      <c r="F245" s="61"/>
      <c r="G245" s="61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  <c r="AA245" s="143"/>
      <c r="AB245" s="143"/>
      <c r="AC245" s="142"/>
      <c r="AD245" s="142"/>
      <c r="AE245" s="142"/>
      <c r="AF245" s="142"/>
      <c r="AG245" s="142"/>
      <c r="AH245" s="142"/>
      <c r="AI245" s="142"/>
      <c r="AJ245" s="142"/>
    </row>
    <row r="246" ht="15.75" customHeight="1">
      <c r="A246" s="142"/>
      <c r="B246" s="142"/>
      <c r="C246" s="142"/>
      <c r="D246" s="146"/>
      <c r="E246" s="61"/>
      <c r="F246" s="61"/>
      <c r="G246" s="61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  <c r="AA246" s="143"/>
      <c r="AB246" s="143"/>
      <c r="AC246" s="142"/>
      <c r="AD246" s="142"/>
      <c r="AE246" s="142"/>
      <c r="AF246" s="142"/>
      <c r="AG246" s="142"/>
      <c r="AH246" s="142"/>
      <c r="AI246" s="142"/>
      <c r="AJ246" s="142"/>
    </row>
    <row r="247" ht="15.75" customHeight="1">
      <c r="A247" s="142"/>
      <c r="B247" s="142"/>
      <c r="C247" s="142"/>
      <c r="D247" s="146"/>
      <c r="E247" s="61"/>
      <c r="F247" s="61"/>
      <c r="G247" s="61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  <c r="AA247" s="143"/>
      <c r="AB247" s="143"/>
      <c r="AC247" s="142"/>
      <c r="AD247" s="142"/>
      <c r="AE247" s="142"/>
      <c r="AF247" s="142"/>
      <c r="AG247" s="142"/>
      <c r="AH247" s="142"/>
      <c r="AI247" s="142"/>
      <c r="AJ247" s="142"/>
    </row>
    <row r="248" ht="15.75" customHeight="1">
      <c r="A248" s="142"/>
      <c r="B248" s="142"/>
      <c r="C248" s="142"/>
      <c r="D248" s="146"/>
      <c r="E248" s="61"/>
      <c r="F248" s="61"/>
      <c r="G248" s="61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3"/>
      <c r="AB248" s="143"/>
      <c r="AC248" s="142"/>
      <c r="AD248" s="142"/>
      <c r="AE248" s="142"/>
      <c r="AF248" s="142"/>
      <c r="AG248" s="142"/>
      <c r="AH248" s="142"/>
      <c r="AI248" s="142"/>
      <c r="AJ248" s="142"/>
    </row>
    <row r="249" ht="15.75" customHeight="1">
      <c r="A249" s="142"/>
      <c r="B249" s="142"/>
      <c r="C249" s="142"/>
      <c r="D249" s="146"/>
      <c r="E249" s="61"/>
      <c r="F249" s="61"/>
      <c r="G249" s="61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3"/>
      <c r="AB249" s="143"/>
      <c r="AC249" s="142"/>
      <c r="AD249" s="142"/>
      <c r="AE249" s="142"/>
      <c r="AF249" s="142"/>
      <c r="AG249" s="142"/>
      <c r="AH249" s="142"/>
      <c r="AI249" s="142"/>
      <c r="AJ249" s="142"/>
    </row>
    <row r="250" ht="15.75" customHeight="1">
      <c r="A250" s="142"/>
      <c r="B250" s="142"/>
      <c r="C250" s="142"/>
      <c r="D250" s="146"/>
      <c r="E250" s="61"/>
      <c r="F250" s="61"/>
      <c r="G250" s="61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  <c r="AA250" s="143"/>
      <c r="AB250" s="143"/>
      <c r="AC250" s="142"/>
      <c r="AD250" s="142"/>
      <c r="AE250" s="142"/>
      <c r="AF250" s="142"/>
      <c r="AG250" s="142"/>
      <c r="AH250" s="142"/>
      <c r="AI250" s="142"/>
      <c r="AJ250" s="142"/>
    </row>
    <row r="251" ht="15.75" customHeight="1">
      <c r="A251" s="142"/>
      <c r="B251" s="142"/>
      <c r="C251" s="142"/>
      <c r="D251" s="146"/>
      <c r="E251" s="61"/>
      <c r="F251" s="61"/>
      <c r="G251" s="61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3"/>
      <c r="AB251" s="143"/>
      <c r="AC251" s="142"/>
      <c r="AD251" s="142"/>
      <c r="AE251" s="142"/>
      <c r="AF251" s="142"/>
      <c r="AG251" s="142"/>
      <c r="AH251" s="142"/>
      <c r="AI251" s="142"/>
      <c r="AJ251" s="142"/>
    </row>
    <row r="252" ht="15.75" customHeight="1">
      <c r="A252" s="142"/>
      <c r="B252" s="142"/>
      <c r="C252" s="142"/>
      <c r="D252" s="146"/>
      <c r="E252" s="61"/>
      <c r="F252" s="61"/>
      <c r="G252" s="61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  <c r="AA252" s="143"/>
      <c r="AB252" s="143"/>
      <c r="AC252" s="142"/>
      <c r="AD252" s="142"/>
      <c r="AE252" s="142"/>
      <c r="AF252" s="142"/>
      <c r="AG252" s="142"/>
      <c r="AH252" s="142"/>
      <c r="AI252" s="142"/>
      <c r="AJ252" s="142"/>
    </row>
    <row r="253" ht="15.75" customHeight="1">
      <c r="A253" s="142"/>
      <c r="B253" s="142"/>
      <c r="C253" s="142"/>
      <c r="D253" s="146"/>
      <c r="E253" s="61"/>
      <c r="F253" s="61"/>
      <c r="G253" s="61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3"/>
      <c r="AB253" s="143"/>
      <c r="AC253" s="142"/>
      <c r="AD253" s="142"/>
      <c r="AE253" s="142"/>
      <c r="AF253" s="142"/>
      <c r="AG253" s="142"/>
      <c r="AH253" s="142"/>
      <c r="AI253" s="142"/>
      <c r="AJ253" s="142"/>
    </row>
    <row r="254" ht="15.75" customHeight="1">
      <c r="A254" s="142"/>
      <c r="B254" s="142"/>
      <c r="C254" s="142"/>
      <c r="D254" s="146"/>
      <c r="E254" s="61"/>
      <c r="F254" s="61"/>
      <c r="G254" s="61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  <c r="AA254" s="143"/>
      <c r="AB254" s="143"/>
      <c r="AC254" s="142"/>
      <c r="AD254" s="142"/>
      <c r="AE254" s="142"/>
      <c r="AF254" s="142"/>
      <c r="AG254" s="142"/>
      <c r="AH254" s="142"/>
      <c r="AI254" s="142"/>
      <c r="AJ254" s="142"/>
    </row>
    <row r="255" ht="15.75" customHeight="1">
      <c r="A255" s="142"/>
      <c r="B255" s="142"/>
      <c r="C255" s="142"/>
      <c r="D255" s="146"/>
      <c r="E255" s="61"/>
      <c r="F255" s="61"/>
      <c r="G255" s="61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  <c r="AA255" s="143"/>
      <c r="AB255" s="143"/>
      <c r="AC255" s="142"/>
      <c r="AD255" s="142"/>
      <c r="AE255" s="142"/>
      <c r="AF255" s="142"/>
      <c r="AG255" s="142"/>
      <c r="AH255" s="142"/>
      <c r="AI255" s="142"/>
      <c r="AJ255" s="142"/>
    </row>
    <row r="256" ht="15.75" customHeight="1">
      <c r="A256" s="142"/>
      <c r="B256" s="142"/>
      <c r="C256" s="142"/>
      <c r="D256" s="146"/>
      <c r="E256" s="61"/>
      <c r="F256" s="61"/>
      <c r="G256" s="61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  <c r="AA256" s="143"/>
      <c r="AB256" s="143"/>
      <c r="AC256" s="142"/>
      <c r="AD256" s="142"/>
      <c r="AE256" s="142"/>
      <c r="AF256" s="142"/>
      <c r="AG256" s="142"/>
      <c r="AH256" s="142"/>
      <c r="AI256" s="142"/>
      <c r="AJ256" s="142"/>
    </row>
    <row r="257" ht="15.75" customHeight="1">
      <c r="A257" s="142"/>
      <c r="B257" s="142"/>
      <c r="C257" s="142"/>
      <c r="D257" s="146"/>
      <c r="E257" s="61"/>
      <c r="F257" s="61"/>
      <c r="G257" s="61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  <c r="AA257" s="143"/>
      <c r="AB257" s="143"/>
      <c r="AC257" s="142"/>
      <c r="AD257" s="142"/>
      <c r="AE257" s="142"/>
      <c r="AF257" s="142"/>
      <c r="AG257" s="142"/>
      <c r="AH257" s="142"/>
      <c r="AI257" s="142"/>
      <c r="AJ257" s="142"/>
    </row>
    <row r="258" ht="15.75" customHeight="1">
      <c r="A258" s="142"/>
      <c r="B258" s="142"/>
      <c r="C258" s="142"/>
      <c r="D258" s="146"/>
      <c r="E258" s="61"/>
      <c r="F258" s="61"/>
      <c r="G258" s="61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  <c r="AA258" s="143"/>
      <c r="AB258" s="143"/>
      <c r="AC258" s="142"/>
      <c r="AD258" s="142"/>
      <c r="AE258" s="142"/>
      <c r="AF258" s="142"/>
      <c r="AG258" s="142"/>
      <c r="AH258" s="142"/>
      <c r="AI258" s="142"/>
      <c r="AJ258" s="142"/>
    </row>
    <row r="259" ht="15.75" customHeight="1">
      <c r="A259" s="142"/>
      <c r="B259" s="142"/>
      <c r="C259" s="142"/>
      <c r="D259" s="146"/>
      <c r="E259" s="61"/>
      <c r="F259" s="61"/>
      <c r="G259" s="61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  <c r="AA259" s="143"/>
      <c r="AB259" s="143"/>
      <c r="AC259" s="142"/>
      <c r="AD259" s="142"/>
      <c r="AE259" s="142"/>
      <c r="AF259" s="142"/>
      <c r="AG259" s="142"/>
      <c r="AH259" s="142"/>
      <c r="AI259" s="142"/>
      <c r="AJ259" s="142"/>
    </row>
    <row r="260" ht="15.75" customHeight="1">
      <c r="A260" s="142"/>
      <c r="B260" s="142"/>
      <c r="C260" s="142"/>
      <c r="D260" s="146"/>
      <c r="E260" s="61"/>
      <c r="F260" s="61"/>
      <c r="G260" s="61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  <c r="AA260" s="143"/>
      <c r="AB260" s="143"/>
      <c r="AC260" s="142"/>
      <c r="AD260" s="142"/>
      <c r="AE260" s="142"/>
      <c r="AF260" s="142"/>
      <c r="AG260" s="142"/>
      <c r="AH260" s="142"/>
      <c r="AI260" s="142"/>
      <c r="AJ260" s="142"/>
    </row>
    <row r="261" ht="15.75" customHeight="1">
      <c r="A261" s="142"/>
      <c r="B261" s="142"/>
      <c r="C261" s="142"/>
      <c r="D261" s="146"/>
      <c r="E261" s="61"/>
      <c r="F261" s="61"/>
      <c r="G261" s="61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  <c r="AA261" s="143"/>
      <c r="AB261" s="143"/>
      <c r="AC261" s="142"/>
      <c r="AD261" s="142"/>
      <c r="AE261" s="142"/>
      <c r="AF261" s="142"/>
      <c r="AG261" s="142"/>
      <c r="AH261" s="142"/>
      <c r="AI261" s="142"/>
      <c r="AJ261" s="142"/>
    </row>
    <row r="262" ht="15.75" customHeight="1">
      <c r="A262" s="142"/>
      <c r="B262" s="142"/>
      <c r="C262" s="142"/>
      <c r="D262" s="146"/>
      <c r="E262" s="61"/>
      <c r="F262" s="61"/>
      <c r="G262" s="61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  <c r="AA262" s="143"/>
      <c r="AB262" s="143"/>
      <c r="AC262" s="142"/>
      <c r="AD262" s="142"/>
      <c r="AE262" s="142"/>
      <c r="AF262" s="142"/>
      <c r="AG262" s="142"/>
      <c r="AH262" s="142"/>
      <c r="AI262" s="142"/>
      <c r="AJ262" s="142"/>
    </row>
    <row r="263" ht="15.75" customHeight="1">
      <c r="A263" s="142"/>
      <c r="B263" s="142"/>
      <c r="C263" s="142"/>
      <c r="D263" s="146"/>
      <c r="E263" s="61"/>
      <c r="F263" s="61"/>
      <c r="G263" s="61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3"/>
      <c r="AB263" s="143"/>
      <c r="AC263" s="142"/>
      <c r="AD263" s="142"/>
      <c r="AE263" s="142"/>
      <c r="AF263" s="142"/>
      <c r="AG263" s="142"/>
      <c r="AH263" s="142"/>
      <c r="AI263" s="142"/>
      <c r="AJ263" s="142"/>
    </row>
    <row r="264" ht="15.75" customHeight="1">
      <c r="A264" s="142"/>
      <c r="B264" s="142"/>
      <c r="C264" s="142"/>
      <c r="D264" s="146"/>
      <c r="E264" s="61"/>
      <c r="F264" s="61"/>
      <c r="G264" s="61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  <c r="AA264" s="143"/>
      <c r="AB264" s="143"/>
      <c r="AC264" s="142"/>
      <c r="AD264" s="142"/>
      <c r="AE264" s="142"/>
      <c r="AF264" s="142"/>
      <c r="AG264" s="142"/>
      <c r="AH264" s="142"/>
      <c r="AI264" s="142"/>
      <c r="AJ264" s="142"/>
    </row>
    <row r="265" ht="15.75" customHeight="1">
      <c r="A265" s="142"/>
      <c r="B265" s="142"/>
      <c r="C265" s="142"/>
      <c r="D265" s="146"/>
      <c r="E265" s="61"/>
      <c r="F265" s="61"/>
      <c r="G265" s="61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  <c r="AA265" s="143"/>
      <c r="AB265" s="143"/>
      <c r="AC265" s="142"/>
      <c r="AD265" s="142"/>
      <c r="AE265" s="142"/>
      <c r="AF265" s="142"/>
      <c r="AG265" s="142"/>
      <c r="AH265" s="142"/>
      <c r="AI265" s="142"/>
      <c r="AJ265" s="142"/>
    </row>
    <row r="266" ht="15.75" customHeight="1">
      <c r="A266" s="142"/>
      <c r="B266" s="142"/>
      <c r="C266" s="142"/>
      <c r="D266" s="146"/>
      <c r="E266" s="61"/>
      <c r="F266" s="61"/>
      <c r="G266" s="61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  <c r="AA266" s="143"/>
      <c r="AB266" s="143"/>
      <c r="AC266" s="142"/>
      <c r="AD266" s="142"/>
      <c r="AE266" s="142"/>
      <c r="AF266" s="142"/>
      <c r="AG266" s="142"/>
      <c r="AH266" s="142"/>
      <c r="AI266" s="142"/>
      <c r="AJ266" s="142"/>
    </row>
    <row r="267" ht="15.75" customHeight="1">
      <c r="A267" s="142"/>
      <c r="B267" s="142"/>
      <c r="C267" s="142"/>
      <c r="D267" s="146"/>
      <c r="E267" s="61"/>
      <c r="F267" s="61"/>
      <c r="G267" s="61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3"/>
      <c r="AB267" s="143"/>
      <c r="AC267" s="142"/>
      <c r="AD267" s="142"/>
      <c r="AE267" s="142"/>
      <c r="AF267" s="142"/>
      <c r="AG267" s="142"/>
      <c r="AH267" s="142"/>
      <c r="AI267" s="142"/>
      <c r="AJ267" s="142"/>
    </row>
    <row r="268" ht="15.75" customHeight="1">
      <c r="A268" s="142"/>
      <c r="B268" s="142"/>
      <c r="C268" s="142"/>
      <c r="D268" s="146"/>
      <c r="E268" s="61"/>
      <c r="F268" s="61"/>
      <c r="G268" s="61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  <c r="AA268" s="143"/>
      <c r="AB268" s="143"/>
      <c r="AC268" s="142"/>
      <c r="AD268" s="142"/>
      <c r="AE268" s="142"/>
      <c r="AF268" s="142"/>
      <c r="AG268" s="142"/>
      <c r="AH268" s="142"/>
      <c r="AI268" s="142"/>
      <c r="AJ268" s="142"/>
    </row>
    <row r="269" ht="15.75" customHeight="1">
      <c r="A269" s="142"/>
      <c r="B269" s="142"/>
      <c r="C269" s="142"/>
      <c r="D269" s="146"/>
      <c r="E269" s="61"/>
      <c r="F269" s="61"/>
      <c r="G269" s="61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  <c r="AA269" s="143"/>
      <c r="AB269" s="143"/>
      <c r="AC269" s="142"/>
      <c r="AD269" s="142"/>
      <c r="AE269" s="142"/>
      <c r="AF269" s="142"/>
      <c r="AG269" s="142"/>
      <c r="AH269" s="142"/>
      <c r="AI269" s="142"/>
      <c r="AJ269" s="142"/>
    </row>
    <row r="270" ht="15.75" customHeight="1">
      <c r="A270" s="142"/>
      <c r="B270" s="142"/>
      <c r="C270" s="142"/>
      <c r="D270" s="146"/>
      <c r="E270" s="61"/>
      <c r="F270" s="61"/>
      <c r="G270" s="61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  <c r="AA270" s="143"/>
      <c r="AB270" s="143"/>
      <c r="AC270" s="142"/>
      <c r="AD270" s="142"/>
      <c r="AE270" s="142"/>
      <c r="AF270" s="142"/>
      <c r="AG270" s="142"/>
      <c r="AH270" s="142"/>
      <c r="AI270" s="142"/>
      <c r="AJ270" s="142"/>
    </row>
    <row r="271" ht="15.75" customHeight="1">
      <c r="A271" s="142"/>
      <c r="B271" s="142"/>
      <c r="C271" s="142"/>
      <c r="D271" s="146"/>
      <c r="E271" s="61"/>
      <c r="F271" s="61"/>
      <c r="G271" s="61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  <c r="AA271" s="143"/>
      <c r="AB271" s="143"/>
      <c r="AC271" s="142"/>
      <c r="AD271" s="142"/>
      <c r="AE271" s="142"/>
      <c r="AF271" s="142"/>
      <c r="AG271" s="142"/>
      <c r="AH271" s="142"/>
      <c r="AI271" s="142"/>
      <c r="AJ271" s="142"/>
    </row>
    <row r="272" ht="15.75" customHeight="1">
      <c r="A272" s="142"/>
      <c r="B272" s="142"/>
      <c r="C272" s="142"/>
      <c r="D272" s="146"/>
      <c r="E272" s="61"/>
      <c r="F272" s="61"/>
      <c r="G272" s="61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  <c r="AA272" s="143"/>
      <c r="AB272" s="143"/>
      <c r="AC272" s="142"/>
      <c r="AD272" s="142"/>
      <c r="AE272" s="142"/>
      <c r="AF272" s="142"/>
      <c r="AG272" s="142"/>
      <c r="AH272" s="142"/>
      <c r="AI272" s="142"/>
      <c r="AJ272" s="142"/>
    </row>
    <row r="273" ht="15.75" customHeight="1">
      <c r="A273" s="142"/>
      <c r="B273" s="142"/>
      <c r="C273" s="142"/>
      <c r="D273" s="146"/>
      <c r="E273" s="61"/>
      <c r="F273" s="61"/>
      <c r="G273" s="61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  <c r="AA273" s="143"/>
      <c r="AB273" s="143"/>
      <c r="AC273" s="142"/>
      <c r="AD273" s="142"/>
      <c r="AE273" s="142"/>
      <c r="AF273" s="142"/>
      <c r="AG273" s="142"/>
      <c r="AH273" s="142"/>
      <c r="AI273" s="142"/>
      <c r="AJ273" s="142"/>
    </row>
    <row r="274" ht="15.75" customHeight="1">
      <c r="A274" s="142"/>
      <c r="B274" s="142"/>
      <c r="C274" s="142"/>
      <c r="D274" s="146"/>
      <c r="E274" s="61"/>
      <c r="F274" s="61"/>
      <c r="G274" s="61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  <c r="AA274" s="143"/>
      <c r="AB274" s="143"/>
      <c r="AC274" s="142"/>
      <c r="AD274" s="142"/>
      <c r="AE274" s="142"/>
      <c r="AF274" s="142"/>
      <c r="AG274" s="142"/>
      <c r="AH274" s="142"/>
      <c r="AI274" s="142"/>
      <c r="AJ274" s="142"/>
    </row>
    <row r="275" ht="15.75" customHeight="1">
      <c r="A275" s="142"/>
      <c r="B275" s="142"/>
      <c r="C275" s="142"/>
      <c r="D275" s="146"/>
      <c r="E275" s="61"/>
      <c r="F275" s="61"/>
      <c r="G275" s="61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  <c r="AA275" s="143"/>
      <c r="AB275" s="143"/>
      <c r="AC275" s="142"/>
      <c r="AD275" s="142"/>
      <c r="AE275" s="142"/>
      <c r="AF275" s="142"/>
      <c r="AG275" s="142"/>
      <c r="AH275" s="142"/>
      <c r="AI275" s="142"/>
      <c r="AJ275" s="142"/>
    </row>
    <row r="276" ht="15.75" customHeight="1">
      <c r="A276" s="142"/>
      <c r="B276" s="142"/>
      <c r="C276" s="142"/>
      <c r="D276" s="146"/>
      <c r="E276" s="61"/>
      <c r="F276" s="61"/>
      <c r="G276" s="61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  <c r="AA276" s="143"/>
      <c r="AB276" s="143"/>
      <c r="AC276" s="142"/>
      <c r="AD276" s="142"/>
      <c r="AE276" s="142"/>
      <c r="AF276" s="142"/>
      <c r="AG276" s="142"/>
      <c r="AH276" s="142"/>
      <c r="AI276" s="142"/>
      <c r="AJ276" s="142"/>
    </row>
    <row r="277" ht="15.75" customHeight="1">
      <c r="A277" s="142"/>
      <c r="B277" s="142"/>
      <c r="C277" s="142"/>
      <c r="D277" s="146"/>
      <c r="E277" s="61"/>
      <c r="F277" s="61"/>
      <c r="G277" s="61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  <c r="AA277" s="143"/>
      <c r="AB277" s="143"/>
      <c r="AC277" s="142"/>
      <c r="AD277" s="142"/>
      <c r="AE277" s="142"/>
      <c r="AF277" s="142"/>
      <c r="AG277" s="142"/>
      <c r="AH277" s="142"/>
      <c r="AI277" s="142"/>
      <c r="AJ277" s="142"/>
    </row>
    <row r="278" ht="15.75" customHeight="1">
      <c r="A278" s="142"/>
      <c r="B278" s="142"/>
      <c r="C278" s="142"/>
      <c r="D278" s="146"/>
      <c r="E278" s="61"/>
      <c r="F278" s="61"/>
      <c r="G278" s="61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  <c r="AA278" s="143"/>
      <c r="AB278" s="143"/>
      <c r="AC278" s="142"/>
      <c r="AD278" s="142"/>
      <c r="AE278" s="142"/>
      <c r="AF278" s="142"/>
      <c r="AG278" s="142"/>
      <c r="AH278" s="142"/>
      <c r="AI278" s="142"/>
      <c r="AJ278" s="142"/>
    </row>
    <row r="279" ht="15.75" customHeight="1">
      <c r="A279" s="142"/>
      <c r="B279" s="142"/>
      <c r="C279" s="142"/>
      <c r="D279" s="146"/>
      <c r="E279" s="61"/>
      <c r="F279" s="61"/>
      <c r="G279" s="61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  <c r="AA279" s="143"/>
      <c r="AB279" s="143"/>
      <c r="AC279" s="142"/>
      <c r="AD279" s="142"/>
      <c r="AE279" s="142"/>
      <c r="AF279" s="142"/>
      <c r="AG279" s="142"/>
      <c r="AH279" s="142"/>
      <c r="AI279" s="142"/>
      <c r="AJ279" s="142"/>
    </row>
    <row r="280" ht="15.75" customHeight="1">
      <c r="A280" s="142"/>
      <c r="B280" s="142"/>
      <c r="C280" s="142"/>
      <c r="D280" s="146"/>
      <c r="E280" s="61"/>
      <c r="F280" s="61"/>
      <c r="G280" s="61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  <c r="AA280" s="143"/>
      <c r="AB280" s="143"/>
      <c r="AC280" s="142"/>
      <c r="AD280" s="142"/>
      <c r="AE280" s="142"/>
      <c r="AF280" s="142"/>
      <c r="AG280" s="142"/>
      <c r="AH280" s="142"/>
      <c r="AI280" s="142"/>
      <c r="AJ280" s="142"/>
    </row>
    <row r="281" ht="15.75" customHeight="1">
      <c r="A281" s="142"/>
      <c r="B281" s="142"/>
      <c r="C281" s="142"/>
      <c r="D281" s="146"/>
      <c r="E281" s="61"/>
      <c r="F281" s="61"/>
      <c r="G281" s="61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  <c r="AA281" s="143"/>
      <c r="AB281" s="143"/>
      <c r="AC281" s="142"/>
      <c r="AD281" s="142"/>
      <c r="AE281" s="142"/>
      <c r="AF281" s="142"/>
      <c r="AG281" s="142"/>
      <c r="AH281" s="142"/>
      <c r="AI281" s="142"/>
      <c r="AJ281" s="142"/>
    </row>
    <row r="282" ht="15.75" customHeight="1">
      <c r="A282" s="142"/>
      <c r="B282" s="142"/>
      <c r="C282" s="142"/>
      <c r="D282" s="146"/>
      <c r="E282" s="61"/>
      <c r="F282" s="61"/>
      <c r="G282" s="61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  <c r="AA282" s="143"/>
      <c r="AB282" s="143"/>
      <c r="AC282" s="142"/>
      <c r="AD282" s="142"/>
      <c r="AE282" s="142"/>
      <c r="AF282" s="142"/>
      <c r="AG282" s="142"/>
      <c r="AH282" s="142"/>
      <c r="AI282" s="142"/>
      <c r="AJ282" s="142"/>
    </row>
    <row r="283" ht="15.75" customHeight="1">
      <c r="A283" s="142"/>
      <c r="B283" s="142"/>
      <c r="C283" s="142"/>
      <c r="D283" s="146"/>
      <c r="E283" s="61"/>
      <c r="F283" s="61"/>
      <c r="G283" s="61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  <c r="AA283" s="143"/>
      <c r="AB283" s="143"/>
      <c r="AC283" s="142"/>
      <c r="AD283" s="142"/>
      <c r="AE283" s="142"/>
      <c r="AF283" s="142"/>
      <c r="AG283" s="142"/>
      <c r="AH283" s="142"/>
      <c r="AI283" s="142"/>
      <c r="AJ283" s="142"/>
    </row>
    <row r="284" ht="15.75" customHeight="1">
      <c r="A284" s="142"/>
      <c r="B284" s="142"/>
      <c r="C284" s="142"/>
      <c r="D284" s="146"/>
      <c r="E284" s="61"/>
      <c r="F284" s="61"/>
      <c r="G284" s="61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  <c r="AA284" s="143"/>
      <c r="AB284" s="143"/>
      <c r="AC284" s="142"/>
      <c r="AD284" s="142"/>
      <c r="AE284" s="142"/>
      <c r="AF284" s="142"/>
      <c r="AG284" s="142"/>
      <c r="AH284" s="142"/>
      <c r="AI284" s="142"/>
      <c r="AJ284" s="142"/>
    </row>
    <row r="285" ht="15.75" customHeight="1">
      <c r="A285" s="142"/>
      <c r="B285" s="142"/>
      <c r="C285" s="142"/>
      <c r="D285" s="146"/>
      <c r="E285" s="61"/>
      <c r="F285" s="61"/>
      <c r="G285" s="61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  <c r="AA285" s="143"/>
      <c r="AB285" s="143"/>
      <c r="AC285" s="142"/>
      <c r="AD285" s="142"/>
      <c r="AE285" s="142"/>
      <c r="AF285" s="142"/>
      <c r="AG285" s="142"/>
      <c r="AH285" s="142"/>
      <c r="AI285" s="142"/>
      <c r="AJ285" s="142"/>
    </row>
    <row r="286" ht="15.75" customHeight="1">
      <c r="A286" s="142"/>
      <c r="B286" s="142"/>
      <c r="C286" s="142"/>
      <c r="D286" s="146"/>
      <c r="E286" s="61"/>
      <c r="F286" s="61"/>
      <c r="G286" s="61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  <c r="AA286" s="143"/>
      <c r="AB286" s="143"/>
      <c r="AC286" s="142"/>
      <c r="AD286" s="142"/>
      <c r="AE286" s="142"/>
      <c r="AF286" s="142"/>
      <c r="AG286" s="142"/>
      <c r="AH286" s="142"/>
      <c r="AI286" s="142"/>
      <c r="AJ286" s="142"/>
    </row>
    <row r="287" ht="15.75" customHeight="1">
      <c r="A287" s="142"/>
      <c r="B287" s="142"/>
      <c r="C287" s="142"/>
      <c r="D287" s="146"/>
      <c r="E287" s="61"/>
      <c r="F287" s="61"/>
      <c r="G287" s="61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  <c r="AA287" s="143"/>
      <c r="AB287" s="143"/>
      <c r="AC287" s="142"/>
      <c r="AD287" s="142"/>
      <c r="AE287" s="142"/>
      <c r="AF287" s="142"/>
      <c r="AG287" s="142"/>
      <c r="AH287" s="142"/>
      <c r="AI287" s="142"/>
      <c r="AJ287" s="142"/>
    </row>
    <row r="288" ht="15.75" customHeight="1">
      <c r="A288" s="142"/>
      <c r="B288" s="142"/>
      <c r="C288" s="142"/>
      <c r="D288" s="146"/>
      <c r="E288" s="61"/>
      <c r="F288" s="61"/>
      <c r="G288" s="61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  <c r="AA288" s="143"/>
      <c r="AB288" s="143"/>
      <c r="AC288" s="142"/>
      <c r="AD288" s="142"/>
      <c r="AE288" s="142"/>
      <c r="AF288" s="142"/>
      <c r="AG288" s="142"/>
      <c r="AH288" s="142"/>
      <c r="AI288" s="142"/>
      <c r="AJ288" s="142"/>
    </row>
    <row r="289" ht="15.75" customHeight="1">
      <c r="A289" s="142"/>
      <c r="B289" s="142"/>
      <c r="C289" s="142"/>
      <c r="D289" s="146"/>
      <c r="E289" s="61"/>
      <c r="F289" s="61"/>
      <c r="G289" s="61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  <c r="AA289" s="143"/>
      <c r="AB289" s="143"/>
      <c r="AC289" s="142"/>
      <c r="AD289" s="142"/>
      <c r="AE289" s="142"/>
      <c r="AF289" s="142"/>
      <c r="AG289" s="142"/>
      <c r="AH289" s="142"/>
      <c r="AI289" s="142"/>
      <c r="AJ289" s="142"/>
    </row>
    <row r="290" ht="15.75" customHeight="1">
      <c r="A290" s="142"/>
      <c r="B290" s="142"/>
      <c r="C290" s="142"/>
      <c r="D290" s="146"/>
      <c r="E290" s="61"/>
      <c r="F290" s="61"/>
      <c r="G290" s="61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  <c r="AA290" s="143"/>
      <c r="AB290" s="143"/>
      <c r="AC290" s="142"/>
      <c r="AD290" s="142"/>
      <c r="AE290" s="142"/>
      <c r="AF290" s="142"/>
      <c r="AG290" s="142"/>
      <c r="AH290" s="142"/>
      <c r="AI290" s="142"/>
      <c r="AJ290" s="142"/>
    </row>
    <row r="291" ht="15.75" customHeight="1">
      <c r="A291" s="142"/>
      <c r="B291" s="142"/>
      <c r="C291" s="142"/>
      <c r="D291" s="146"/>
      <c r="E291" s="61"/>
      <c r="F291" s="61"/>
      <c r="G291" s="61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  <c r="AA291" s="143"/>
      <c r="AB291" s="143"/>
      <c r="AC291" s="142"/>
      <c r="AD291" s="142"/>
      <c r="AE291" s="142"/>
      <c r="AF291" s="142"/>
      <c r="AG291" s="142"/>
      <c r="AH291" s="142"/>
      <c r="AI291" s="142"/>
      <c r="AJ291" s="142"/>
    </row>
    <row r="292" ht="15.75" customHeight="1">
      <c r="A292" s="142"/>
      <c r="B292" s="142"/>
      <c r="C292" s="142"/>
      <c r="D292" s="146"/>
      <c r="E292" s="61"/>
      <c r="F292" s="61"/>
      <c r="G292" s="61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  <c r="AA292" s="143"/>
      <c r="AB292" s="143"/>
      <c r="AC292" s="142"/>
      <c r="AD292" s="142"/>
      <c r="AE292" s="142"/>
      <c r="AF292" s="142"/>
      <c r="AG292" s="142"/>
      <c r="AH292" s="142"/>
      <c r="AI292" s="142"/>
      <c r="AJ292" s="142"/>
    </row>
    <row r="293" ht="15.75" customHeight="1">
      <c r="A293" s="142"/>
      <c r="B293" s="142"/>
      <c r="C293" s="142"/>
      <c r="D293" s="146"/>
      <c r="E293" s="61"/>
      <c r="F293" s="61"/>
      <c r="G293" s="61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  <c r="AA293" s="143"/>
      <c r="AB293" s="143"/>
      <c r="AC293" s="142"/>
      <c r="AD293" s="142"/>
      <c r="AE293" s="142"/>
      <c r="AF293" s="142"/>
      <c r="AG293" s="142"/>
      <c r="AH293" s="142"/>
      <c r="AI293" s="142"/>
      <c r="AJ293" s="142"/>
    </row>
    <row r="294" ht="15.75" customHeight="1">
      <c r="A294" s="142"/>
      <c r="B294" s="142"/>
      <c r="C294" s="142"/>
      <c r="D294" s="146"/>
      <c r="E294" s="61"/>
      <c r="F294" s="61"/>
      <c r="G294" s="61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  <c r="AA294" s="143"/>
      <c r="AB294" s="143"/>
      <c r="AC294" s="142"/>
      <c r="AD294" s="142"/>
      <c r="AE294" s="142"/>
      <c r="AF294" s="142"/>
      <c r="AG294" s="142"/>
      <c r="AH294" s="142"/>
      <c r="AI294" s="142"/>
      <c r="AJ294" s="142"/>
    </row>
    <row r="295" ht="15.75" customHeight="1">
      <c r="A295" s="142"/>
      <c r="B295" s="142"/>
      <c r="C295" s="142"/>
      <c r="D295" s="146"/>
      <c r="E295" s="61"/>
      <c r="F295" s="61"/>
      <c r="G295" s="61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  <c r="AA295" s="143"/>
      <c r="AB295" s="143"/>
      <c r="AC295" s="142"/>
      <c r="AD295" s="142"/>
      <c r="AE295" s="142"/>
      <c r="AF295" s="142"/>
      <c r="AG295" s="142"/>
      <c r="AH295" s="142"/>
      <c r="AI295" s="142"/>
      <c r="AJ295" s="142"/>
    </row>
    <row r="296" ht="15.75" customHeight="1">
      <c r="A296" s="142"/>
      <c r="B296" s="142"/>
      <c r="C296" s="142"/>
      <c r="D296" s="146"/>
      <c r="E296" s="61"/>
      <c r="F296" s="61"/>
      <c r="G296" s="61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  <c r="AA296" s="143"/>
      <c r="AB296" s="143"/>
      <c r="AC296" s="142"/>
      <c r="AD296" s="142"/>
      <c r="AE296" s="142"/>
      <c r="AF296" s="142"/>
      <c r="AG296" s="142"/>
      <c r="AH296" s="142"/>
      <c r="AI296" s="142"/>
      <c r="AJ296" s="142"/>
    </row>
    <row r="297" ht="15.75" customHeight="1">
      <c r="A297" s="142"/>
      <c r="B297" s="142"/>
      <c r="C297" s="142"/>
      <c r="D297" s="146"/>
      <c r="E297" s="61"/>
      <c r="F297" s="61"/>
      <c r="G297" s="61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  <c r="AA297" s="143"/>
      <c r="AB297" s="143"/>
      <c r="AC297" s="142"/>
      <c r="AD297" s="142"/>
      <c r="AE297" s="142"/>
      <c r="AF297" s="142"/>
      <c r="AG297" s="142"/>
      <c r="AH297" s="142"/>
      <c r="AI297" s="142"/>
      <c r="AJ297" s="142"/>
    </row>
    <row r="298" ht="15.75" customHeight="1">
      <c r="A298" s="142"/>
      <c r="B298" s="142"/>
      <c r="C298" s="142"/>
      <c r="D298" s="146"/>
      <c r="E298" s="61"/>
      <c r="F298" s="61"/>
      <c r="G298" s="61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  <c r="AA298" s="143"/>
      <c r="AB298" s="143"/>
      <c r="AC298" s="142"/>
      <c r="AD298" s="142"/>
      <c r="AE298" s="142"/>
      <c r="AF298" s="142"/>
      <c r="AG298" s="142"/>
      <c r="AH298" s="142"/>
      <c r="AI298" s="142"/>
      <c r="AJ298" s="142"/>
    </row>
    <row r="299" ht="15.75" customHeight="1">
      <c r="A299" s="142"/>
      <c r="B299" s="142"/>
      <c r="C299" s="142"/>
      <c r="D299" s="146"/>
      <c r="E299" s="61"/>
      <c r="F299" s="61"/>
      <c r="G299" s="61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  <c r="AA299" s="143"/>
      <c r="AB299" s="143"/>
      <c r="AC299" s="142"/>
      <c r="AD299" s="142"/>
      <c r="AE299" s="142"/>
      <c r="AF299" s="142"/>
      <c r="AG299" s="142"/>
      <c r="AH299" s="142"/>
      <c r="AI299" s="142"/>
      <c r="AJ299" s="142"/>
    </row>
    <row r="300" ht="15.75" customHeight="1">
      <c r="A300" s="142"/>
      <c r="B300" s="142"/>
      <c r="C300" s="142"/>
      <c r="D300" s="146"/>
      <c r="E300" s="61"/>
      <c r="F300" s="61"/>
      <c r="G300" s="61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  <c r="AA300" s="143"/>
      <c r="AB300" s="143"/>
      <c r="AC300" s="142"/>
      <c r="AD300" s="142"/>
      <c r="AE300" s="142"/>
      <c r="AF300" s="142"/>
      <c r="AG300" s="142"/>
      <c r="AH300" s="142"/>
      <c r="AI300" s="142"/>
      <c r="AJ300" s="142"/>
    </row>
    <row r="301" ht="15.75" customHeight="1">
      <c r="A301" s="142"/>
      <c r="B301" s="142"/>
      <c r="C301" s="142"/>
      <c r="D301" s="146"/>
      <c r="E301" s="61"/>
      <c r="F301" s="61"/>
      <c r="G301" s="61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  <c r="AA301" s="143"/>
      <c r="AB301" s="143"/>
      <c r="AC301" s="142"/>
      <c r="AD301" s="142"/>
      <c r="AE301" s="142"/>
      <c r="AF301" s="142"/>
      <c r="AG301" s="142"/>
      <c r="AH301" s="142"/>
      <c r="AI301" s="142"/>
      <c r="AJ301" s="142"/>
    </row>
    <row r="302" ht="15.75" customHeight="1">
      <c r="A302" s="142"/>
      <c r="B302" s="142"/>
      <c r="C302" s="142"/>
      <c r="D302" s="146"/>
      <c r="E302" s="61"/>
      <c r="F302" s="61"/>
      <c r="G302" s="61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  <c r="AA302" s="143"/>
      <c r="AB302" s="143"/>
      <c r="AC302" s="142"/>
      <c r="AD302" s="142"/>
      <c r="AE302" s="142"/>
      <c r="AF302" s="142"/>
      <c r="AG302" s="142"/>
      <c r="AH302" s="142"/>
      <c r="AI302" s="142"/>
      <c r="AJ302" s="142"/>
    </row>
    <row r="303" ht="15.75" customHeight="1">
      <c r="A303" s="142"/>
      <c r="B303" s="142"/>
      <c r="C303" s="142"/>
      <c r="D303" s="146"/>
      <c r="E303" s="61"/>
      <c r="F303" s="61"/>
      <c r="G303" s="61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  <c r="AA303" s="143"/>
      <c r="AB303" s="143"/>
      <c r="AC303" s="142"/>
      <c r="AD303" s="142"/>
      <c r="AE303" s="142"/>
      <c r="AF303" s="142"/>
      <c r="AG303" s="142"/>
      <c r="AH303" s="142"/>
      <c r="AI303" s="142"/>
      <c r="AJ303" s="142"/>
    </row>
    <row r="304" ht="15.75" customHeight="1">
      <c r="A304" s="142"/>
      <c r="B304" s="142"/>
      <c r="C304" s="142"/>
      <c r="D304" s="146"/>
      <c r="E304" s="61"/>
      <c r="F304" s="61"/>
      <c r="G304" s="61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  <c r="AA304" s="143"/>
      <c r="AB304" s="143"/>
      <c r="AC304" s="142"/>
      <c r="AD304" s="142"/>
      <c r="AE304" s="142"/>
      <c r="AF304" s="142"/>
      <c r="AG304" s="142"/>
      <c r="AH304" s="142"/>
      <c r="AI304" s="142"/>
      <c r="AJ304" s="142"/>
    </row>
    <row r="305" ht="15.75" customHeight="1">
      <c r="A305" s="142"/>
      <c r="B305" s="142"/>
      <c r="C305" s="142"/>
      <c r="D305" s="146"/>
      <c r="E305" s="61"/>
      <c r="F305" s="61"/>
      <c r="G305" s="61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  <c r="AA305" s="143"/>
      <c r="AB305" s="143"/>
      <c r="AC305" s="142"/>
      <c r="AD305" s="142"/>
      <c r="AE305" s="142"/>
      <c r="AF305" s="142"/>
      <c r="AG305" s="142"/>
      <c r="AH305" s="142"/>
      <c r="AI305" s="142"/>
      <c r="AJ305" s="142"/>
    </row>
    <row r="306" ht="15.75" customHeight="1">
      <c r="A306" s="142"/>
      <c r="B306" s="142"/>
      <c r="C306" s="142"/>
      <c r="D306" s="146"/>
      <c r="E306" s="61"/>
      <c r="F306" s="61"/>
      <c r="G306" s="61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  <c r="AA306" s="143"/>
      <c r="AB306" s="143"/>
      <c r="AC306" s="142"/>
      <c r="AD306" s="142"/>
      <c r="AE306" s="142"/>
      <c r="AF306" s="142"/>
      <c r="AG306" s="142"/>
      <c r="AH306" s="142"/>
      <c r="AI306" s="142"/>
      <c r="AJ306" s="142"/>
    </row>
    <row r="307" ht="15.75" customHeight="1">
      <c r="A307" s="142"/>
      <c r="B307" s="142"/>
      <c r="C307" s="142"/>
      <c r="D307" s="146"/>
      <c r="E307" s="61"/>
      <c r="F307" s="61"/>
      <c r="G307" s="61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  <c r="AA307" s="143"/>
      <c r="AB307" s="143"/>
      <c r="AC307" s="142"/>
      <c r="AD307" s="142"/>
      <c r="AE307" s="142"/>
      <c r="AF307" s="142"/>
      <c r="AG307" s="142"/>
      <c r="AH307" s="142"/>
      <c r="AI307" s="142"/>
      <c r="AJ307" s="142"/>
    </row>
    <row r="308" ht="15.75" customHeight="1">
      <c r="A308" s="142"/>
      <c r="B308" s="142"/>
      <c r="C308" s="142"/>
      <c r="D308" s="146"/>
      <c r="E308" s="61"/>
      <c r="F308" s="61"/>
      <c r="G308" s="61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  <c r="AA308" s="143"/>
      <c r="AB308" s="143"/>
      <c r="AC308" s="142"/>
      <c r="AD308" s="142"/>
      <c r="AE308" s="142"/>
      <c r="AF308" s="142"/>
      <c r="AG308" s="142"/>
      <c r="AH308" s="142"/>
      <c r="AI308" s="142"/>
      <c r="AJ308" s="142"/>
    </row>
    <row r="309" ht="15.75" customHeight="1">
      <c r="A309" s="142"/>
      <c r="B309" s="142"/>
      <c r="C309" s="142"/>
      <c r="D309" s="146"/>
      <c r="E309" s="61"/>
      <c r="F309" s="61"/>
      <c r="G309" s="61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  <c r="AA309" s="143"/>
      <c r="AB309" s="143"/>
      <c r="AC309" s="142"/>
      <c r="AD309" s="142"/>
      <c r="AE309" s="142"/>
      <c r="AF309" s="142"/>
      <c r="AG309" s="142"/>
      <c r="AH309" s="142"/>
      <c r="AI309" s="142"/>
      <c r="AJ309" s="142"/>
    </row>
    <row r="310" ht="15.75" customHeight="1">
      <c r="A310" s="142"/>
      <c r="B310" s="142"/>
      <c r="C310" s="142"/>
      <c r="D310" s="146"/>
      <c r="E310" s="61"/>
      <c r="F310" s="61"/>
      <c r="G310" s="61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  <c r="AA310" s="143"/>
      <c r="AB310" s="143"/>
      <c r="AC310" s="142"/>
      <c r="AD310" s="142"/>
      <c r="AE310" s="142"/>
      <c r="AF310" s="142"/>
      <c r="AG310" s="142"/>
      <c r="AH310" s="142"/>
      <c r="AI310" s="142"/>
      <c r="AJ310" s="142"/>
    </row>
    <row r="311" ht="15.75" customHeight="1">
      <c r="A311" s="142"/>
      <c r="B311" s="142"/>
      <c r="C311" s="142"/>
      <c r="D311" s="146"/>
      <c r="E311" s="61"/>
      <c r="F311" s="61"/>
      <c r="G311" s="61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  <c r="AA311" s="143"/>
      <c r="AB311" s="143"/>
      <c r="AC311" s="142"/>
      <c r="AD311" s="142"/>
      <c r="AE311" s="142"/>
      <c r="AF311" s="142"/>
      <c r="AG311" s="142"/>
      <c r="AH311" s="142"/>
      <c r="AI311" s="142"/>
      <c r="AJ311" s="142"/>
    </row>
    <row r="312" ht="15.75" customHeight="1">
      <c r="A312" s="142"/>
      <c r="B312" s="142"/>
      <c r="C312" s="142"/>
      <c r="D312" s="146"/>
      <c r="E312" s="61"/>
      <c r="F312" s="61"/>
      <c r="G312" s="61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  <c r="AA312" s="143"/>
      <c r="AB312" s="143"/>
      <c r="AC312" s="142"/>
      <c r="AD312" s="142"/>
      <c r="AE312" s="142"/>
      <c r="AF312" s="142"/>
      <c r="AG312" s="142"/>
      <c r="AH312" s="142"/>
      <c r="AI312" s="142"/>
      <c r="AJ312" s="142"/>
    </row>
    <row r="313" ht="15.75" customHeight="1">
      <c r="A313" s="142"/>
      <c r="B313" s="142"/>
      <c r="C313" s="142"/>
      <c r="D313" s="146"/>
      <c r="E313" s="61"/>
      <c r="F313" s="61"/>
      <c r="G313" s="61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  <c r="AA313" s="143"/>
      <c r="AB313" s="143"/>
      <c r="AC313" s="142"/>
      <c r="AD313" s="142"/>
      <c r="AE313" s="142"/>
      <c r="AF313" s="142"/>
      <c r="AG313" s="142"/>
      <c r="AH313" s="142"/>
      <c r="AI313" s="142"/>
      <c r="AJ313" s="142"/>
    </row>
    <row r="314" ht="15.75" customHeight="1">
      <c r="A314" s="142"/>
      <c r="B314" s="142"/>
      <c r="C314" s="142"/>
      <c r="D314" s="146"/>
      <c r="E314" s="61"/>
      <c r="F314" s="61"/>
      <c r="G314" s="61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  <c r="AA314" s="143"/>
      <c r="AB314" s="143"/>
      <c r="AC314" s="142"/>
      <c r="AD314" s="142"/>
      <c r="AE314" s="142"/>
      <c r="AF314" s="142"/>
      <c r="AG314" s="142"/>
      <c r="AH314" s="142"/>
      <c r="AI314" s="142"/>
      <c r="AJ314" s="142"/>
    </row>
    <row r="315" ht="15.75" customHeight="1">
      <c r="A315" s="142"/>
      <c r="B315" s="142"/>
      <c r="C315" s="142"/>
      <c r="D315" s="146"/>
      <c r="E315" s="61"/>
      <c r="F315" s="61"/>
      <c r="G315" s="61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  <c r="AA315" s="143"/>
      <c r="AB315" s="143"/>
      <c r="AC315" s="142"/>
      <c r="AD315" s="142"/>
      <c r="AE315" s="142"/>
      <c r="AF315" s="142"/>
      <c r="AG315" s="142"/>
      <c r="AH315" s="142"/>
      <c r="AI315" s="142"/>
      <c r="AJ315" s="142"/>
    </row>
    <row r="316" ht="15.75" customHeight="1">
      <c r="A316" s="142"/>
      <c r="B316" s="142"/>
      <c r="C316" s="142"/>
      <c r="D316" s="146"/>
      <c r="E316" s="61"/>
      <c r="F316" s="61"/>
      <c r="G316" s="61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  <c r="AA316" s="143"/>
      <c r="AB316" s="143"/>
      <c r="AC316" s="142"/>
      <c r="AD316" s="142"/>
      <c r="AE316" s="142"/>
      <c r="AF316" s="142"/>
      <c r="AG316" s="142"/>
      <c r="AH316" s="142"/>
      <c r="AI316" s="142"/>
      <c r="AJ316" s="142"/>
    </row>
    <row r="317" ht="15.75" customHeight="1">
      <c r="A317" s="142"/>
      <c r="B317" s="142"/>
      <c r="C317" s="142"/>
      <c r="D317" s="146"/>
      <c r="E317" s="61"/>
      <c r="F317" s="61"/>
      <c r="G317" s="61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  <c r="AA317" s="143"/>
      <c r="AB317" s="143"/>
      <c r="AC317" s="142"/>
      <c r="AD317" s="142"/>
      <c r="AE317" s="142"/>
      <c r="AF317" s="142"/>
      <c r="AG317" s="142"/>
      <c r="AH317" s="142"/>
      <c r="AI317" s="142"/>
      <c r="AJ317" s="142"/>
    </row>
    <row r="318" ht="15.75" customHeight="1">
      <c r="A318" s="142"/>
      <c r="B318" s="142"/>
      <c r="C318" s="142"/>
      <c r="D318" s="146"/>
      <c r="E318" s="61"/>
      <c r="F318" s="61"/>
      <c r="G318" s="61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  <c r="AA318" s="143"/>
      <c r="AB318" s="143"/>
      <c r="AC318" s="142"/>
      <c r="AD318" s="142"/>
      <c r="AE318" s="142"/>
      <c r="AF318" s="142"/>
      <c r="AG318" s="142"/>
      <c r="AH318" s="142"/>
      <c r="AI318" s="142"/>
      <c r="AJ318" s="142"/>
    </row>
    <row r="319" ht="15.75" customHeight="1">
      <c r="A319" s="142"/>
      <c r="B319" s="142"/>
      <c r="C319" s="142"/>
      <c r="D319" s="146"/>
      <c r="E319" s="61"/>
      <c r="F319" s="61"/>
      <c r="G319" s="61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  <c r="AA319" s="143"/>
      <c r="AB319" s="143"/>
      <c r="AC319" s="142"/>
      <c r="AD319" s="142"/>
      <c r="AE319" s="142"/>
      <c r="AF319" s="142"/>
      <c r="AG319" s="142"/>
      <c r="AH319" s="142"/>
      <c r="AI319" s="142"/>
      <c r="AJ319" s="142"/>
    </row>
    <row r="320" ht="15.75" customHeight="1">
      <c r="A320" s="142"/>
      <c r="B320" s="142"/>
      <c r="C320" s="142"/>
      <c r="D320" s="146"/>
      <c r="E320" s="61"/>
      <c r="F320" s="61"/>
      <c r="G320" s="61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  <c r="AA320" s="143"/>
      <c r="AB320" s="143"/>
      <c r="AC320" s="142"/>
      <c r="AD320" s="142"/>
      <c r="AE320" s="142"/>
      <c r="AF320" s="142"/>
      <c r="AG320" s="142"/>
      <c r="AH320" s="142"/>
      <c r="AI320" s="142"/>
      <c r="AJ320" s="142"/>
    </row>
    <row r="321" ht="15.75" customHeight="1">
      <c r="A321" s="142"/>
      <c r="B321" s="142"/>
      <c r="C321" s="142"/>
      <c r="D321" s="146"/>
      <c r="E321" s="61"/>
      <c r="F321" s="61"/>
      <c r="G321" s="61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  <c r="AA321" s="143"/>
      <c r="AB321" s="143"/>
      <c r="AC321" s="142"/>
      <c r="AD321" s="142"/>
      <c r="AE321" s="142"/>
      <c r="AF321" s="142"/>
      <c r="AG321" s="142"/>
      <c r="AH321" s="142"/>
      <c r="AI321" s="142"/>
      <c r="AJ321" s="142"/>
    </row>
    <row r="322" ht="15.75" customHeight="1">
      <c r="A322" s="142"/>
      <c r="B322" s="142"/>
      <c r="C322" s="142"/>
      <c r="D322" s="146"/>
      <c r="E322" s="61"/>
      <c r="F322" s="61"/>
      <c r="G322" s="61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  <c r="AA322" s="143"/>
      <c r="AB322" s="143"/>
      <c r="AC322" s="142"/>
      <c r="AD322" s="142"/>
      <c r="AE322" s="142"/>
      <c r="AF322" s="142"/>
      <c r="AG322" s="142"/>
      <c r="AH322" s="142"/>
      <c r="AI322" s="142"/>
      <c r="AJ322" s="142"/>
    </row>
    <row r="323" ht="15.75" customHeight="1">
      <c r="A323" s="142"/>
      <c r="B323" s="142"/>
      <c r="C323" s="142"/>
      <c r="D323" s="146"/>
      <c r="E323" s="61"/>
      <c r="F323" s="61"/>
      <c r="G323" s="61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  <c r="AA323" s="143"/>
      <c r="AB323" s="143"/>
      <c r="AC323" s="142"/>
      <c r="AD323" s="142"/>
      <c r="AE323" s="142"/>
      <c r="AF323" s="142"/>
      <c r="AG323" s="142"/>
      <c r="AH323" s="142"/>
      <c r="AI323" s="142"/>
      <c r="AJ323" s="142"/>
    </row>
    <row r="324" ht="15.75" customHeight="1">
      <c r="A324" s="142"/>
      <c r="B324" s="142"/>
      <c r="C324" s="142"/>
      <c r="D324" s="146"/>
      <c r="E324" s="61"/>
      <c r="F324" s="61"/>
      <c r="G324" s="61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  <c r="AA324" s="143"/>
      <c r="AB324" s="143"/>
      <c r="AC324" s="142"/>
      <c r="AD324" s="142"/>
      <c r="AE324" s="142"/>
      <c r="AF324" s="142"/>
      <c r="AG324" s="142"/>
      <c r="AH324" s="142"/>
      <c r="AI324" s="142"/>
      <c r="AJ324" s="142"/>
    </row>
    <row r="325" ht="15.75" customHeight="1">
      <c r="A325" s="142"/>
      <c r="B325" s="142"/>
      <c r="C325" s="142"/>
      <c r="D325" s="146"/>
      <c r="E325" s="61"/>
      <c r="F325" s="61"/>
      <c r="G325" s="61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  <c r="AA325" s="143"/>
      <c r="AB325" s="143"/>
      <c r="AC325" s="142"/>
      <c r="AD325" s="142"/>
      <c r="AE325" s="142"/>
      <c r="AF325" s="142"/>
      <c r="AG325" s="142"/>
      <c r="AH325" s="142"/>
      <c r="AI325" s="142"/>
      <c r="AJ325" s="142"/>
    </row>
    <row r="326" ht="15.75" customHeight="1">
      <c r="A326" s="142"/>
      <c r="B326" s="142"/>
      <c r="C326" s="142"/>
      <c r="D326" s="146"/>
      <c r="E326" s="61"/>
      <c r="F326" s="61"/>
      <c r="G326" s="61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  <c r="AA326" s="143"/>
      <c r="AB326" s="143"/>
      <c r="AC326" s="142"/>
      <c r="AD326" s="142"/>
      <c r="AE326" s="142"/>
      <c r="AF326" s="142"/>
      <c r="AG326" s="142"/>
      <c r="AH326" s="142"/>
      <c r="AI326" s="142"/>
      <c r="AJ326" s="142"/>
    </row>
    <row r="327" ht="15.75" customHeight="1">
      <c r="A327" s="142"/>
      <c r="B327" s="142"/>
      <c r="C327" s="142"/>
      <c r="D327" s="146"/>
      <c r="E327" s="61"/>
      <c r="F327" s="61"/>
      <c r="G327" s="61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  <c r="AA327" s="143"/>
      <c r="AB327" s="143"/>
      <c r="AC327" s="142"/>
      <c r="AD327" s="142"/>
      <c r="AE327" s="142"/>
      <c r="AF327" s="142"/>
      <c r="AG327" s="142"/>
      <c r="AH327" s="142"/>
      <c r="AI327" s="142"/>
      <c r="AJ327" s="142"/>
    </row>
    <row r="328" ht="15.75" customHeight="1">
      <c r="A328" s="142"/>
      <c r="B328" s="142"/>
      <c r="C328" s="142"/>
      <c r="D328" s="146"/>
      <c r="E328" s="61"/>
      <c r="F328" s="61"/>
      <c r="G328" s="61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  <c r="AA328" s="143"/>
      <c r="AB328" s="143"/>
      <c r="AC328" s="142"/>
      <c r="AD328" s="142"/>
      <c r="AE328" s="142"/>
      <c r="AF328" s="142"/>
      <c r="AG328" s="142"/>
      <c r="AH328" s="142"/>
      <c r="AI328" s="142"/>
      <c r="AJ328" s="142"/>
    </row>
    <row r="329" ht="15.75" customHeight="1">
      <c r="A329" s="142"/>
      <c r="B329" s="142"/>
      <c r="C329" s="142"/>
      <c r="D329" s="146"/>
      <c r="E329" s="61"/>
      <c r="F329" s="61"/>
      <c r="G329" s="61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  <c r="AA329" s="143"/>
      <c r="AB329" s="143"/>
      <c r="AC329" s="142"/>
      <c r="AD329" s="142"/>
      <c r="AE329" s="142"/>
      <c r="AF329" s="142"/>
      <c r="AG329" s="142"/>
      <c r="AH329" s="142"/>
      <c r="AI329" s="142"/>
      <c r="AJ329" s="142"/>
    </row>
    <row r="330" ht="15.75" customHeight="1">
      <c r="A330" s="142"/>
      <c r="B330" s="142"/>
      <c r="C330" s="142"/>
      <c r="D330" s="146"/>
      <c r="E330" s="61"/>
      <c r="F330" s="61"/>
      <c r="G330" s="61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  <c r="AA330" s="143"/>
      <c r="AB330" s="143"/>
      <c r="AC330" s="142"/>
      <c r="AD330" s="142"/>
      <c r="AE330" s="142"/>
      <c r="AF330" s="142"/>
      <c r="AG330" s="142"/>
      <c r="AH330" s="142"/>
      <c r="AI330" s="142"/>
      <c r="AJ330" s="142"/>
    </row>
    <row r="331" ht="15.75" customHeight="1">
      <c r="A331" s="142"/>
      <c r="B331" s="142"/>
      <c r="C331" s="142"/>
      <c r="D331" s="146"/>
      <c r="E331" s="61"/>
      <c r="F331" s="61"/>
      <c r="G331" s="61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  <c r="AA331" s="143"/>
      <c r="AB331" s="143"/>
      <c r="AC331" s="142"/>
      <c r="AD331" s="142"/>
      <c r="AE331" s="142"/>
      <c r="AF331" s="142"/>
      <c r="AG331" s="142"/>
      <c r="AH331" s="142"/>
      <c r="AI331" s="142"/>
      <c r="AJ331" s="142"/>
    </row>
    <row r="332" ht="15.75" customHeight="1">
      <c r="A332" s="142"/>
      <c r="B332" s="142"/>
      <c r="C332" s="142"/>
      <c r="D332" s="146"/>
      <c r="E332" s="61"/>
      <c r="F332" s="61"/>
      <c r="G332" s="61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  <c r="AA332" s="143"/>
      <c r="AB332" s="143"/>
      <c r="AC332" s="142"/>
      <c r="AD332" s="142"/>
      <c r="AE332" s="142"/>
      <c r="AF332" s="142"/>
      <c r="AG332" s="142"/>
      <c r="AH332" s="142"/>
      <c r="AI332" s="142"/>
      <c r="AJ332" s="142"/>
    </row>
    <row r="333" ht="15.75" customHeight="1">
      <c r="A333" s="142"/>
      <c r="B333" s="142"/>
      <c r="C333" s="142"/>
      <c r="D333" s="146"/>
      <c r="E333" s="61"/>
      <c r="F333" s="61"/>
      <c r="G333" s="61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  <c r="AA333" s="143"/>
      <c r="AB333" s="143"/>
      <c r="AC333" s="142"/>
      <c r="AD333" s="142"/>
      <c r="AE333" s="142"/>
      <c r="AF333" s="142"/>
      <c r="AG333" s="142"/>
      <c r="AH333" s="142"/>
      <c r="AI333" s="142"/>
      <c r="AJ333" s="142"/>
    </row>
    <row r="334" ht="15.75" customHeight="1">
      <c r="A334" s="142"/>
      <c r="B334" s="142"/>
      <c r="C334" s="142"/>
      <c r="D334" s="146"/>
      <c r="E334" s="61"/>
      <c r="F334" s="61"/>
      <c r="G334" s="61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  <c r="AA334" s="143"/>
      <c r="AB334" s="143"/>
      <c r="AC334" s="142"/>
      <c r="AD334" s="142"/>
      <c r="AE334" s="142"/>
      <c r="AF334" s="142"/>
      <c r="AG334" s="142"/>
      <c r="AH334" s="142"/>
      <c r="AI334" s="142"/>
      <c r="AJ334" s="142"/>
    </row>
    <row r="335" ht="15.75" customHeight="1">
      <c r="A335" s="142"/>
      <c r="B335" s="142"/>
      <c r="C335" s="142"/>
      <c r="D335" s="146"/>
      <c r="E335" s="61"/>
      <c r="F335" s="61"/>
      <c r="G335" s="61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  <c r="AA335" s="143"/>
      <c r="AB335" s="143"/>
      <c r="AC335" s="142"/>
      <c r="AD335" s="142"/>
      <c r="AE335" s="142"/>
      <c r="AF335" s="142"/>
      <c r="AG335" s="142"/>
      <c r="AH335" s="142"/>
      <c r="AI335" s="142"/>
      <c r="AJ335" s="142"/>
    </row>
    <row r="336" ht="15.75" customHeight="1">
      <c r="A336" s="142"/>
      <c r="B336" s="142"/>
      <c r="C336" s="142"/>
      <c r="D336" s="146"/>
      <c r="E336" s="61"/>
      <c r="F336" s="61"/>
      <c r="G336" s="61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  <c r="AA336" s="143"/>
      <c r="AB336" s="143"/>
      <c r="AC336" s="142"/>
      <c r="AD336" s="142"/>
      <c r="AE336" s="142"/>
      <c r="AF336" s="142"/>
      <c r="AG336" s="142"/>
      <c r="AH336" s="142"/>
      <c r="AI336" s="142"/>
      <c r="AJ336" s="142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0">
    <mergeCell ref="X2:X5"/>
    <mergeCell ref="Y2:Y5"/>
    <mergeCell ref="AA2:AA5"/>
    <mergeCell ref="AB2:AB5"/>
    <mergeCell ref="AC2:AC5"/>
    <mergeCell ref="AD2:AD5"/>
    <mergeCell ref="AE2:AE5"/>
    <mergeCell ref="AJ2:AJ5"/>
    <mergeCell ref="AC6:AC9"/>
    <mergeCell ref="AC10:AC13"/>
    <mergeCell ref="AD10:AD13"/>
    <mergeCell ref="AE10:AE13"/>
    <mergeCell ref="AJ10:AJ13"/>
    <mergeCell ref="X6:X9"/>
    <mergeCell ref="Y6:Y9"/>
    <mergeCell ref="AA6:AA9"/>
    <mergeCell ref="AB6:AB9"/>
    <mergeCell ref="AD6:AD9"/>
    <mergeCell ref="AE6:AE9"/>
    <mergeCell ref="AJ6:AJ9"/>
    <mergeCell ref="Q2:Q5"/>
    <mergeCell ref="R2:R5"/>
    <mergeCell ref="S2:S5"/>
    <mergeCell ref="T2:T5"/>
    <mergeCell ref="U2:U5"/>
    <mergeCell ref="V2:V5"/>
    <mergeCell ref="W2:W5"/>
    <mergeCell ref="J2:J5"/>
    <mergeCell ref="K2:K5"/>
    <mergeCell ref="L2:L5"/>
    <mergeCell ref="M2:M5"/>
    <mergeCell ref="N2:N5"/>
    <mergeCell ref="O2:O5"/>
    <mergeCell ref="P2:P5"/>
    <mergeCell ref="AA58:AA61"/>
    <mergeCell ref="AB58:AB61"/>
    <mergeCell ref="AC58:AC61"/>
    <mergeCell ref="AD58:AD61"/>
    <mergeCell ref="AE58:AE61"/>
    <mergeCell ref="AJ58:AJ61"/>
    <mergeCell ref="J58:J61"/>
    <mergeCell ref="K58:K61"/>
    <mergeCell ref="L58:L61"/>
    <mergeCell ref="M58:M61"/>
    <mergeCell ref="N58:N61"/>
    <mergeCell ref="O58:O61"/>
    <mergeCell ref="P58:P61"/>
    <mergeCell ref="X58:X61"/>
    <mergeCell ref="Y58:Y61"/>
    <mergeCell ref="Q58:Q61"/>
    <mergeCell ref="R58:R61"/>
    <mergeCell ref="S58:S61"/>
    <mergeCell ref="T58:T61"/>
    <mergeCell ref="U58:U61"/>
    <mergeCell ref="V58:V61"/>
    <mergeCell ref="W58:W61"/>
    <mergeCell ref="X62:X65"/>
    <mergeCell ref="Y62:Y65"/>
    <mergeCell ref="AA62:AA65"/>
    <mergeCell ref="AB62:AB65"/>
    <mergeCell ref="AC62:AC65"/>
    <mergeCell ref="AD62:AD65"/>
    <mergeCell ref="AE62:AE65"/>
    <mergeCell ref="AJ62:AJ65"/>
    <mergeCell ref="Q62:Q65"/>
    <mergeCell ref="R62:R65"/>
    <mergeCell ref="S62:S65"/>
    <mergeCell ref="T62:T65"/>
    <mergeCell ref="U62:U65"/>
    <mergeCell ref="V62:V65"/>
    <mergeCell ref="W62:W65"/>
    <mergeCell ref="J62:J65"/>
    <mergeCell ref="K62:K65"/>
    <mergeCell ref="L62:L65"/>
    <mergeCell ref="M62:M65"/>
    <mergeCell ref="N62:N65"/>
    <mergeCell ref="O62:O65"/>
    <mergeCell ref="P62:P65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AB46:AB49"/>
    <mergeCell ref="AC46:AC49"/>
    <mergeCell ref="V50:V53"/>
    <mergeCell ref="W50:W53"/>
    <mergeCell ref="X50:X53"/>
    <mergeCell ref="Y50:Y53"/>
    <mergeCell ref="AA50:AA53"/>
    <mergeCell ref="AB50:AB53"/>
    <mergeCell ref="AC50:AC53"/>
    <mergeCell ref="AD50:AD53"/>
    <mergeCell ref="AE50:AE53"/>
    <mergeCell ref="AF50:AF53"/>
    <mergeCell ref="AF38:AF41"/>
    <mergeCell ref="AF42:AF45"/>
    <mergeCell ref="AD46:AD49"/>
    <mergeCell ref="AE46:AE49"/>
    <mergeCell ref="AF46:AF49"/>
    <mergeCell ref="AJ46:AJ49"/>
    <mergeCell ref="S50:S53"/>
    <mergeCell ref="AJ50:AJ53"/>
    <mergeCell ref="AB54:AB57"/>
    <mergeCell ref="AC54:AC57"/>
    <mergeCell ref="AD54:AD57"/>
    <mergeCell ref="AE54:AE57"/>
    <mergeCell ref="AJ54:AJ57"/>
    <mergeCell ref="O54:O57"/>
    <mergeCell ref="P54:P57"/>
    <mergeCell ref="V54:V57"/>
    <mergeCell ref="W54:W57"/>
    <mergeCell ref="X54:X57"/>
    <mergeCell ref="Y54:Y57"/>
    <mergeCell ref="AA54:AA57"/>
    <mergeCell ref="AB86:AB89"/>
    <mergeCell ref="AC86:AC89"/>
    <mergeCell ref="AD86:AD89"/>
    <mergeCell ref="AE86:AE89"/>
    <mergeCell ref="AJ86:AJ89"/>
    <mergeCell ref="AJ90:AJ93"/>
    <mergeCell ref="AB74:AB77"/>
    <mergeCell ref="AB78:AB81"/>
    <mergeCell ref="AC78:AC81"/>
    <mergeCell ref="AD78:AD81"/>
    <mergeCell ref="AE78:AE81"/>
    <mergeCell ref="AB82:AB85"/>
    <mergeCell ref="AE82:AE85"/>
    <mergeCell ref="AA94:AA97"/>
    <mergeCell ref="AB94:AB97"/>
    <mergeCell ref="AC94:AC97"/>
    <mergeCell ref="AD94:AD97"/>
    <mergeCell ref="AE94:AE97"/>
    <mergeCell ref="AJ94:AJ97"/>
    <mergeCell ref="AC82:AC85"/>
    <mergeCell ref="AD82:AD85"/>
    <mergeCell ref="AA90:AA93"/>
    <mergeCell ref="AB90:AB93"/>
    <mergeCell ref="AC90:AC93"/>
    <mergeCell ref="AD90:AD93"/>
    <mergeCell ref="AE90:AE93"/>
    <mergeCell ref="Q106:Q109"/>
    <mergeCell ref="R106:R109"/>
    <mergeCell ref="S106:S109"/>
    <mergeCell ref="T106:T109"/>
    <mergeCell ref="U106:U109"/>
    <mergeCell ref="V106:V109"/>
    <mergeCell ref="W106:W109"/>
    <mergeCell ref="J106:J109"/>
    <mergeCell ref="K106:K109"/>
    <mergeCell ref="L106:L109"/>
    <mergeCell ref="M106:M109"/>
    <mergeCell ref="N106:N109"/>
    <mergeCell ref="O106:O109"/>
    <mergeCell ref="P106:P109"/>
    <mergeCell ref="Q110:Q113"/>
    <mergeCell ref="R110:R113"/>
    <mergeCell ref="S110:S113"/>
    <mergeCell ref="T110:T113"/>
    <mergeCell ref="U110:U113"/>
    <mergeCell ref="V110:V113"/>
    <mergeCell ref="W110:W113"/>
    <mergeCell ref="X110:X113"/>
    <mergeCell ref="Y110:Y113"/>
    <mergeCell ref="AA110:AA113"/>
    <mergeCell ref="AC110:AC113"/>
    <mergeCell ref="AD110:AD113"/>
    <mergeCell ref="AE110:AE113"/>
    <mergeCell ref="AJ110:AJ113"/>
    <mergeCell ref="AE118:AE121"/>
    <mergeCell ref="AF118:AF121"/>
    <mergeCell ref="AE122:AE125"/>
    <mergeCell ref="AF122:AF125"/>
    <mergeCell ref="AJ122:AJ125"/>
    <mergeCell ref="AB110:AB113"/>
    <mergeCell ref="AB114:AB117"/>
    <mergeCell ref="AC114:AC117"/>
    <mergeCell ref="AD114:AD117"/>
    <mergeCell ref="AE114:AE117"/>
    <mergeCell ref="AJ114:AJ117"/>
    <mergeCell ref="AB118:AB121"/>
    <mergeCell ref="AJ118:AJ121"/>
    <mergeCell ref="AD126:AD129"/>
    <mergeCell ref="AE126:AE129"/>
    <mergeCell ref="AF126:AF129"/>
    <mergeCell ref="AJ126:AJ129"/>
    <mergeCell ref="AC118:AC121"/>
    <mergeCell ref="AD118:AD121"/>
    <mergeCell ref="AB122:AB125"/>
    <mergeCell ref="AC122:AC125"/>
    <mergeCell ref="AD122:AD125"/>
    <mergeCell ref="AB126:AB129"/>
    <mergeCell ref="AC126:AC129"/>
    <mergeCell ref="AH90:AH113"/>
    <mergeCell ref="AF114:AF117"/>
    <mergeCell ref="AG114:AG129"/>
    <mergeCell ref="AH114:AH129"/>
    <mergeCell ref="AF2:AF5"/>
    <mergeCell ref="AG2:AG57"/>
    <mergeCell ref="AH2:AH57"/>
    <mergeCell ref="AI2:AI129"/>
    <mergeCell ref="AF6:AF9"/>
    <mergeCell ref="AF10:AF13"/>
    <mergeCell ref="AF14:AF17"/>
    <mergeCell ref="AF54:AF57"/>
    <mergeCell ref="AF58:AF61"/>
    <mergeCell ref="AG58:AG77"/>
    <mergeCell ref="AH58:AH77"/>
    <mergeCell ref="AF62:AF65"/>
    <mergeCell ref="AF70:AF73"/>
    <mergeCell ref="AF74:AF77"/>
    <mergeCell ref="AF78:AF81"/>
    <mergeCell ref="AG78:AG89"/>
    <mergeCell ref="AH78:AH89"/>
    <mergeCell ref="AF82:AF85"/>
    <mergeCell ref="AF86:AF89"/>
    <mergeCell ref="AF90:AF93"/>
    <mergeCell ref="AG90:AG113"/>
    <mergeCell ref="AF94:AF97"/>
    <mergeCell ref="AF98:AF101"/>
    <mergeCell ref="AF102:AF105"/>
    <mergeCell ref="AF106:AF109"/>
    <mergeCell ref="AF110:AF113"/>
    <mergeCell ref="J18:J21"/>
    <mergeCell ref="K18:K21"/>
    <mergeCell ref="L18:L21"/>
    <mergeCell ref="M18:M21"/>
    <mergeCell ref="N18:N21"/>
    <mergeCell ref="O18:O21"/>
    <mergeCell ref="P18:P21"/>
    <mergeCell ref="J14:J17"/>
    <mergeCell ref="K14:K17"/>
    <mergeCell ref="L14:L17"/>
    <mergeCell ref="M14:M17"/>
    <mergeCell ref="N14:N17"/>
    <mergeCell ref="O14:O17"/>
    <mergeCell ref="P14:P17"/>
    <mergeCell ref="AD18:AD21"/>
    <mergeCell ref="AE18:AE21"/>
    <mergeCell ref="AJ14:AJ17"/>
    <mergeCell ref="AJ18:AJ21"/>
    <mergeCell ref="AA14:AA17"/>
    <mergeCell ref="AB14:AB17"/>
    <mergeCell ref="AC14:AC17"/>
    <mergeCell ref="AD14:AD17"/>
    <mergeCell ref="AE14:AE17"/>
    <mergeCell ref="AA18:AA21"/>
    <mergeCell ref="AF18:AF21"/>
    <mergeCell ref="Q22:Q25"/>
    <mergeCell ref="R22:R25"/>
    <mergeCell ref="J22:J25"/>
    <mergeCell ref="K22:K25"/>
    <mergeCell ref="L22:L25"/>
    <mergeCell ref="M22:M25"/>
    <mergeCell ref="N22:N25"/>
    <mergeCell ref="O22:O25"/>
    <mergeCell ref="P22:P25"/>
    <mergeCell ref="AA22:AA25"/>
    <mergeCell ref="AB22:AB25"/>
    <mergeCell ref="AB18:AB21"/>
    <mergeCell ref="AC18:AC21"/>
    <mergeCell ref="S22:S25"/>
    <mergeCell ref="T22:T25"/>
    <mergeCell ref="U22:U25"/>
    <mergeCell ref="V22:V25"/>
    <mergeCell ref="W22:W25"/>
    <mergeCell ref="AC22:AC25"/>
    <mergeCell ref="AC26:AC29"/>
    <mergeCell ref="AD26:AD29"/>
    <mergeCell ref="X22:X25"/>
    <mergeCell ref="Y22:Y25"/>
    <mergeCell ref="AD22:AD25"/>
    <mergeCell ref="AE22:AE25"/>
    <mergeCell ref="AJ22:AJ25"/>
    <mergeCell ref="J26:J29"/>
    <mergeCell ref="K26:K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AA26:AA29"/>
    <mergeCell ref="AB26:AB29"/>
    <mergeCell ref="Y30:Y33"/>
    <mergeCell ref="AA30:AA33"/>
    <mergeCell ref="L26:L29"/>
    <mergeCell ref="M26:M29"/>
    <mergeCell ref="AE26:AE29"/>
    <mergeCell ref="AJ26:AJ29"/>
    <mergeCell ref="J30:J33"/>
    <mergeCell ref="K30:K33"/>
    <mergeCell ref="L30:L33"/>
    <mergeCell ref="C10:C13"/>
    <mergeCell ref="D10:D13"/>
    <mergeCell ref="H10:H13"/>
    <mergeCell ref="I10:I13"/>
    <mergeCell ref="C14:C17"/>
    <mergeCell ref="D14:D17"/>
    <mergeCell ref="H14:H17"/>
    <mergeCell ref="I14:I17"/>
    <mergeCell ref="C18:C21"/>
    <mergeCell ref="D18:D21"/>
    <mergeCell ref="H18:H21"/>
    <mergeCell ref="I18:I21"/>
    <mergeCell ref="C22:C25"/>
    <mergeCell ref="D22:D25"/>
    <mergeCell ref="H22:H25"/>
    <mergeCell ref="I22:I25"/>
    <mergeCell ref="C26:C29"/>
    <mergeCell ref="D26:D29"/>
    <mergeCell ref="H26:H29"/>
    <mergeCell ref="I26:I29"/>
    <mergeCell ref="C30:C33"/>
    <mergeCell ref="D30:D33"/>
    <mergeCell ref="H30:H33"/>
    <mergeCell ref="I30:I33"/>
    <mergeCell ref="C34:C37"/>
    <mergeCell ref="D34:D37"/>
    <mergeCell ref="C38:C41"/>
    <mergeCell ref="D38:D41"/>
    <mergeCell ref="H38:H41"/>
    <mergeCell ref="I38:I41"/>
    <mergeCell ref="C42:C45"/>
    <mergeCell ref="D42:D45"/>
    <mergeCell ref="H42:H45"/>
    <mergeCell ref="I42:I45"/>
    <mergeCell ref="C46:C49"/>
    <mergeCell ref="D46:D49"/>
    <mergeCell ref="H46:H49"/>
    <mergeCell ref="I46:I49"/>
    <mergeCell ref="C50:C53"/>
    <mergeCell ref="D50:D53"/>
    <mergeCell ref="H50:H53"/>
    <mergeCell ref="I50:I53"/>
    <mergeCell ref="D66:D69"/>
    <mergeCell ref="C70:C73"/>
    <mergeCell ref="D70:D73"/>
    <mergeCell ref="C54:C57"/>
    <mergeCell ref="D54:D57"/>
    <mergeCell ref="A58:A77"/>
    <mergeCell ref="B58:B77"/>
    <mergeCell ref="C58:C61"/>
    <mergeCell ref="D58:D61"/>
    <mergeCell ref="D62:D65"/>
    <mergeCell ref="C98:C101"/>
    <mergeCell ref="C102:C105"/>
    <mergeCell ref="D102:D105"/>
    <mergeCell ref="C106:C109"/>
    <mergeCell ref="D106:D109"/>
    <mergeCell ref="A114:A129"/>
    <mergeCell ref="B114:B129"/>
    <mergeCell ref="A90:A113"/>
    <mergeCell ref="B90:B113"/>
    <mergeCell ref="C90:C93"/>
    <mergeCell ref="D90:D93"/>
    <mergeCell ref="C94:C97"/>
    <mergeCell ref="D94:D97"/>
    <mergeCell ref="D98:D101"/>
    <mergeCell ref="C122:C125"/>
    <mergeCell ref="C126:C129"/>
    <mergeCell ref="C110:C113"/>
    <mergeCell ref="D110:D113"/>
    <mergeCell ref="C114:C117"/>
    <mergeCell ref="D114:D117"/>
    <mergeCell ref="C118:C121"/>
    <mergeCell ref="D118:D121"/>
    <mergeCell ref="D122:D125"/>
    <mergeCell ref="D126:D129"/>
    <mergeCell ref="H122:H125"/>
    <mergeCell ref="H126:H129"/>
    <mergeCell ref="H94:H97"/>
    <mergeCell ref="H98:H101"/>
    <mergeCell ref="H102:H105"/>
    <mergeCell ref="H106:H109"/>
    <mergeCell ref="H110:H113"/>
    <mergeCell ref="H114:H117"/>
    <mergeCell ref="H118:H121"/>
    <mergeCell ref="A1:B1"/>
    <mergeCell ref="A2:A57"/>
    <mergeCell ref="B2:B57"/>
    <mergeCell ref="C2:C5"/>
    <mergeCell ref="D2:D5"/>
    <mergeCell ref="H2:H5"/>
    <mergeCell ref="I2:I5"/>
    <mergeCell ref="C62:C65"/>
    <mergeCell ref="C66:C69"/>
    <mergeCell ref="C74:C77"/>
    <mergeCell ref="D74:D77"/>
    <mergeCell ref="C78:C81"/>
    <mergeCell ref="D78:D81"/>
    <mergeCell ref="C82:C85"/>
    <mergeCell ref="D82:D85"/>
    <mergeCell ref="C86:C89"/>
    <mergeCell ref="D86:D89"/>
    <mergeCell ref="I70:I73"/>
    <mergeCell ref="I74:I77"/>
    <mergeCell ref="I90:I93"/>
    <mergeCell ref="I94:I97"/>
    <mergeCell ref="I98:I101"/>
    <mergeCell ref="I102:I105"/>
    <mergeCell ref="I106:I109"/>
    <mergeCell ref="I110:I113"/>
    <mergeCell ref="H54:H57"/>
    <mergeCell ref="I54:I57"/>
    <mergeCell ref="H58:H61"/>
    <mergeCell ref="I58:I61"/>
    <mergeCell ref="H62:H65"/>
    <mergeCell ref="I62:I65"/>
    <mergeCell ref="I66:I69"/>
    <mergeCell ref="A78:A89"/>
    <mergeCell ref="B78:B89"/>
    <mergeCell ref="H66:H69"/>
    <mergeCell ref="H70:H73"/>
    <mergeCell ref="H74:H77"/>
    <mergeCell ref="H78:H81"/>
    <mergeCell ref="H82:H85"/>
    <mergeCell ref="H86:H89"/>
    <mergeCell ref="H90:H93"/>
    <mergeCell ref="V6:V9"/>
    <mergeCell ref="W6:W9"/>
    <mergeCell ref="O6:O9"/>
    <mergeCell ref="P6:P9"/>
    <mergeCell ref="Q6:Q9"/>
    <mergeCell ref="R6:R9"/>
    <mergeCell ref="S6:S9"/>
    <mergeCell ref="T6:T9"/>
    <mergeCell ref="U6:U9"/>
    <mergeCell ref="Q10:Q13"/>
    <mergeCell ref="R10:R13"/>
    <mergeCell ref="J10:J13"/>
    <mergeCell ref="K10:K13"/>
    <mergeCell ref="L10:L13"/>
    <mergeCell ref="M10:M13"/>
    <mergeCell ref="N10:N13"/>
    <mergeCell ref="O10:O13"/>
    <mergeCell ref="P10:P13"/>
    <mergeCell ref="AA10:AA13"/>
    <mergeCell ref="AB10:AB13"/>
    <mergeCell ref="S10:S13"/>
    <mergeCell ref="T10:T13"/>
    <mergeCell ref="U10:U13"/>
    <mergeCell ref="V10:V13"/>
    <mergeCell ref="W10:W13"/>
    <mergeCell ref="X10:X13"/>
    <mergeCell ref="Y10:Y13"/>
    <mergeCell ref="C6:C9"/>
    <mergeCell ref="D6:D9"/>
    <mergeCell ref="H6:H9"/>
    <mergeCell ref="I6:I9"/>
    <mergeCell ref="J6:J9"/>
    <mergeCell ref="K6:K9"/>
    <mergeCell ref="L6:L9"/>
    <mergeCell ref="M6:M9"/>
    <mergeCell ref="N6:N9"/>
    <mergeCell ref="X14:X17"/>
    <mergeCell ref="Y14:Y17"/>
    <mergeCell ref="Q14:Q17"/>
    <mergeCell ref="R14:R17"/>
    <mergeCell ref="S14:S17"/>
    <mergeCell ref="T14:T17"/>
    <mergeCell ref="U14:U17"/>
    <mergeCell ref="V14:V17"/>
    <mergeCell ref="W14:W17"/>
    <mergeCell ref="X18:X21"/>
    <mergeCell ref="Y18:Y21"/>
    <mergeCell ref="Q18:Q21"/>
    <mergeCell ref="R18:R21"/>
    <mergeCell ref="S18:S21"/>
    <mergeCell ref="T18:T21"/>
    <mergeCell ref="U18:U21"/>
    <mergeCell ref="V18:V21"/>
    <mergeCell ref="W18:W21"/>
    <mergeCell ref="O34:O37"/>
    <mergeCell ref="P34:P37"/>
    <mergeCell ref="H34:H37"/>
    <mergeCell ref="I34:I37"/>
    <mergeCell ref="J34:J37"/>
    <mergeCell ref="K34:K37"/>
    <mergeCell ref="L34:L37"/>
    <mergeCell ref="M34:M37"/>
    <mergeCell ref="N34:N37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AB30:AB33"/>
    <mergeCell ref="AC30:AC33"/>
    <mergeCell ref="X34:X37"/>
    <mergeCell ref="Y34:Y37"/>
    <mergeCell ref="Q34:Q37"/>
    <mergeCell ref="R34:R37"/>
    <mergeCell ref="S34:S37"/>
    <mergeCell ref="T34:T37"/>
    <mergeCell ref="U34:U37"/>
    <mergeCell ref="V34:V37"/>
    <mergeCell ref="W34:W37"/>
    <mergeCell ref="AD34:AD37"/>
    <mergeCell ref="AE34:AE37"/>
    <mergeCell ref="AJ30:AJ33"/>
    <mergeCell ref="AJ34:AJ37"/>
    <mergeCell ref="AF22:AF25"/>
    <mergeCell ref="AF26:AF29"/>
    <mergeCell ref="AD30:AD33"/>
    <mergeCell ref="AE30:AE33"/>
    <mergeCell ref="AF30:AF33"/>
    <mergeCell ref="AA34:AA37"/>
    <mergeCell ref="AF34:AF37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AA38:AA41"/>
    <mergeCell ref="AB38:AB41"/>
    <mergeCell ref="AC38:AC41"/>
    <mergeCell ref="AB34:AB37"/>
    <mergeCell ref="AC34:AC37"/>
    <mergeCell ref="J38:J41"/>
    <mergeCell ref="K38:K41"/>
    <mergeCell ref="L38:L41"/>
    <mergeCell ref="M38:M41"/>
    <mergeCell ref="N38:N41"/>
    <mergeCell ref="AC42:AC45"/>
    <mergeCell ref="AD42:AD45"/>
    <mergeCell ref="O38:O41"/>
    <mergeCell ref="P38:P41"/>
    <mergeCell ref="AD38:AD41"/>
    <mergeCell ref="AE38:AE41"/>
    <mergeCell ref="AJ38:AJ41"/>
    <mergeCell ref="J42:J45"/>
    <mergeCell ref="K42:K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AA42:AA45"/>
    <mergeCell ref="AB42:AB45"/>
    <mergeCell ref="Y46:Y49"/>
    <mergeCell ref="AA46:AA49"/>
    <mergeCell ref="L42:L45"/>
    <mergeCell ref="M42:M45"/>
    <mergeCell ref="AE42:AE45"/>
    <mergeCell ref="AJ42:AJ45"/>
    <mergeCell ref="J46:J49"/>
    <mergeCell ref="K46:K49"/>
    <mergeCell ref="L46:L49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AA74:AA77"/>
    <mergeCell ref="AC74:AC77"/>
    <mergeCell ref="AD74:AD77"/>
    <mergeCell ref="AE74:AE77"/>
    <mergeCell ref="AJ74:AJ77"/>
    <mergeCell ref="AF66:AF69"/>
    <mergeCell ref="AJ66:AJ69"/>
    <mergeCell ref="X66:X69"/>
    <mergeCell ref="Y66:Y69"/>
    <mergeCell ref="AA66:AA69"/>
    <mergeCell ref="AB66:AB69"/>
    <mergeCell ref="AC66:AC69"/>
    <mergeCell ref="AD66:AD69"/>
    <mergeCell ref="AE66:AE69"/>
    <mergeCell ref="X70:X73"/>
    <mergeCell ref="Y70:Y73"/>
    <mergeCell ref="AA70:AA73"/>
    <mergeCell ref="AB70:AB73"/>
    <mergeCell ref="AC70:AC73"/>
    <mergeCell ref="AD70:AD73"/>
    <mergeCell ref="AE70:AE73"/>
    <mergeCell ref="AJ70:AJ73"/>
    <mergeCell ref="Q70:Q73"/>
    <mergeCell ref="R70:R73"/>
    <mergeCell ref="S70:S73"/>
    <mergeCell ref="T70:T73"/>
    <mergeCell ref="U70:U73"/>
    <mergeCell ref="V70:V73"/>
    <mergeCell ref="W70:W73"/>
    <mergeCell ref="J70:J73"/>
    <mergeCell ref="K70:K73"/>
    <mergeCell ref="L70:L73"/>
    <mergeCell ref="M70:M73"/>
    <mergeCell ref="N70:N73"/>
    <mergeCell ref="O70:O73"/>
    <mergeCell ref="P70:P73"/>
    <mergeCell ref="J74:J77"/>
    <mergeCell ref="K74:K77"/>
    <mergeCell ref="L74:L77"/>
    <mergeCell ref="M74:M77"/>
    <mergeCell ref="N74:N77"/>
    <mergeCell ref="O74:O77"/>
    <mergeCell ref="P74:P77"/>
    <mergeCell ref="AJ78:AJ81"/>
    <mergeCell ref="AJ82:AJ85"/>
    <mergeCell ref="Q54:Q57"/>
    <mergeCell ref="R54:R57"/>
    <mergeCell ref="S54:S57"/>
    <mergeCell ref="T54:T57"/>
    <mergeCell ref="T50:T53"/>
    <mergeCell ref="U50:U53"/>
    <mergeCell ref="J54:J57"/>
    <mergeCell ref="K54:K57"/>
    <mergeCell ref="L54:L57"/>
    <mergeCell ref="M54:M57"/>
    <mergeCell ref="N54:N57"/>
    <mergeCell ref="U54:U57"/>
    <mergeCell ref="Q50:Q53"/>
    <mergeCell ref="R50:R53"/>
    <mergeCell ref="J50:J53"/>
    <mergeCell ref="K50:K53"/>
    <mergeCell ref="L50:L53"/>
    <mergeCell ref="M50:M53"/>
    <mergeCell ref="N50:N53"/>
    <mergeCell ref="O50:O53"/>
    <mergeCell ref="P50:P53"/>
    <mergeCell ref="X90:X93"/>
    <mergeCell ref="Y90:Y93"/>
    <mergeCell ref="Q90:Q93"/>
    <mergeCell ref="R90:R93"/>
    <mergeCell ref="S90:S93"/>
    <mergeCell ref="T90:T93"/>
    <mergeCell ref="U90:U93"/>
    <mergeCell ref="V90:V93"/>
    <mergeCell ref="W90:W93"/>
    <mergeCell ref="J90:J93"/>
    <mergeCell ref="K90:K93"/>
    <mergeCell ref="L90:L93"/>
    <mergeCell ref="M90:M93"/>
    <mergeCell ref="N90:N93"/>
    <mergeCell ref="O90:O93"/>
    <mergeCell ref="P90:P93"/>
    <mergeCell ref="X94:X97"/>
    <mergeCell ref="Y94:Y97"/>
    <mergeCell ref="J98:J101"/>
    <mergeCell ref="K98:K101"/>
    <mergeCell ref="L98:L101"/>
    <mergeCell ref="M98:M101"/>
    <mergeCell ref="N98:N101"/>
    <mergeCell ref="O98:O101"/>
    <mergeCell ref="P98:P101"/>
    <mergeCell ref="X98:X101"/>
    <mergeCell ref="Y98:Y101"/>
    <mergeCell ref="AA98:AA101"/>
    <mergeCell ref="AB98:AB101"/>
    <mergeCell ref="AC98:AC101"/>
    <mergeCell ref="AD98:AD101"/>
    <mergeCell ref="AE98:AE101"/>
    <mergeCell ref="AJ98:AJ101"/>
    <mergeCell ref="Q98:Q101"/>
    <mergeCell ref="R98:R101"/>
    <mergeCell ref="S98:S101"/>
    <mergeCell ref="T98:T101"/>
    <mergeCell ref="U98:U101"/>
    <mergeCell ref="V98:V101"/>
    <mergeCell ref="W98:W101"/>
    <mergeCell ref="Q94:Q97"/>
    <mergeCell ref="R94:R97"/>
    <mergeCell ref="S94:S97"/>
    <mergeCell ref="T94:T97"/>
    <mergeCell ref="U94:U97"/>
    <mergeCell ref="V94:V97"/>
    <mergeCell ref="W94:W97"/>
    <mergeCell ref="J94:J97"/>
    <mergeCell ref="K94:K97"/>
    <mergeCell ref="L94:L97"/>
    <mergeCell ref="M94:M97"/>
    <mergeCell ref="N94:N97"/>
    <mergeCell ref="O94:O97"/>
    <mergeCell ref="P94:P97"/>
    <mergeCell ref="X102:X105"/>
    <mergeCell ref="Y102:Y105"/>
    <mergeCell ref="AA102:AA105"/>
    <mergeCell ref="AB102:AB105"/>
    <mergeCell ref="AC102:AC105"/>
    <mergeCell ref="AD102:AD105"/>
    <mergeCell ref="AE102:AE105"/>
    <mergeCell ref="AJ102:AJ105"/>
    <mergeCell ref="Q102:Q105"/>
    <mergeCell ref="R102:R105"/>
    <mergeCell ref="S102:S105"/>
    <mergeCell ref="T102:T105"/>
    <mergeCell ref="U102:U105"/>
    <mergeCell ref="V102:V105"/>
    <mergeCell ref="W102:W105"/>
    <mergeCell ref="J102:J105"/>
    <mergeCell ref="K102:K105"/>
    <mergeCell ref="L102:L105"/>
    <mergeCell ref="M102:M105"/>
    <mergeCell ref="N102:N105"/>
    <mergeCell ref="O102:O105"/>
    <mergeCell ref="P102:P105"/>
    <mergeCell ref="X106:X109"/>
    <mergeCell ref="Y106:Y109"/>
    <mergeCell ref="AA106:AA109"/>
    <mergeCell ref="AB106:AB109"/>
    <mergeCell ref="AC106:AC109"/>
    <mergeCell ref="AD106:AD109"/>
    <mergeCell ref="AE106:AE109"/>
    <mergeCell ref="AJ106:AJ109"/>
    <mergeCell ref="J110:J113"/>
    <mergeCell ref="K110:K113"/>
    <mergeCell ref="L110:L113"/>
    <mergeCell ref="M110:M113"/>
    <mergeCell ref="N110:N113"/>
    <mergeCell ref="O110:O113"/>
    <mergeCell ref="P110:P1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0"/>
    <col customWidth="1" min="3" max="3" width="31.63"/>
    <col customWidth="1" min="4" max="4" width="12.88"/>
    <col customWidth="1" min="5" max="5" width="14.63"/>
    <col customWidth="1" min="6" max="6" width="20.63"/>
    <col customWidth="1" min="7" max="23" width="8.0"/>
    <col customWidth="1" min="24" max="26" width="7.63"/>
  </cols>
  <sheetData>
    <row r="1">
      <c r="A1" s="81"/>
      <c r="B1" s="83" t="str">
        <f>L16</f>
        <v>PENILAIAN KETANGGUHAN BENCANA CUACA EKSTREM (ANGIN KENCANG)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1"/>
      <c r="V1" s="1"/>
      <c r="W1" s="1"/>
      <c r="X1" s="1"/>
      <c r="Y1" s="1"/>
      <c r="Z1" s="1"/>
    </row>
    <row r="2">
      <c r="A2" s="1"/>
      <c r="B2" s="83" t="str">
        <f>M16</f>
        <v>DESA DESA MEDARI, NGADIREJO, TEMANGGUNG, JAWA TENGAH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5" t="str">
        <f>N16</f>
        <v>TAHUN 2026</v>
      </c>
      <c r="C3" s="1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9"/>
      <c r="C5" s="29"/>
      <c r="D5" s="29"/>
      <c r="E5" s="29"/>
      <c r="F5" s="2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86"/>
      <c r="B6" s="87" t="s">
        <v>61</v>
      </c>
      <c r="C6" s="87" t="s">
        <v>15</v>
      </c>
      <c r="D6" s="88" t="s">
        <v>44</v>
      </c>
      <c r="E6" s="88" t="s">
        <v>45</v>
      </c>
      <c r="F6" s="88" t="s">
        <v>62</v>
      </c>
      <c r="G6" s="89"/>
      <c r="H6" s="90" t="s">
        <v>63</v>
      </c>
      <c r="I6" s="14"/>
      <c r="J6" s="14"/>
      <c r="K6" s="14"/>
      <c r="L6" s="14"/>
      <c r="M6" s="14"/>
      <c r="N6" s="1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1.5" customHeight="1">
      <c r="A7" s="91"/>
      <c r="B7" s="92">
        <v>1.0</v>
      </c>
      <c r="C7" s="94" t="s">
        <v>65</v>
      </c>
      <c r="D7" s="96">
        <f>Analisa!AG2</f>
        <v>0.8714285714</v>
      </c>
      <c r="E7" s="98">
        <f>Analisa!AI2</f>
        <v>57.16190476</v>
      </c>
      <c r="F7" s="99" t="str">
        <f>IF(E7&lt;=58.33,"TANGGUH PRATAMA",IF(E7&gt;83.33,"TANGGUH UTAMA","TANGGUH MADYA"))</f>
        <v>TANGGUH PRATAMA</v>
      </c>
      <c r="G7" s="100"/>
      <c r="H7" s="101" t="s">
        <v>68</v>
      </c>
      <c r="I7" s="101"/>
      <c r="J7" s="101"/>
      <c r="K7" s="101"/>
      <c r="L7" s="101"/>
      <c r="M7" s="102" t="s">
        <v>69</v>
      </c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ht="31.5" customHeight="1">
      <c r="A8" s="91"/>
      <c r="B8" s="92">
        <v>2.0</v>
      </c>
      <c r="C8" s="103" t="s">
        <v>70</v>
      </c>
      <c r="D8" s="96">
        <f>Analisa!AG58</f>
        <v>0.52</v>
      </c>
      <c r="E8" s="67"/>
      <c r="F8" s="67"/>
      <c r="G8" s="100"/>
      <c r="H8" s="101" t="s">
        <v>71</v>
      </c>
      <c r="I8" s="101"/>
      <c r="J8" s="101"/>
      <c r="K8" s="101"/>
      <c r="L8" s="101"/>
      <c r="M8" s="102" t="s">
        <v>73</v>
      </c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ht="31.5" customHeight="1">
      <c r="A9" s="91"/>
      <c r="B9" s="92">
        <v>3.0</v>
      </c>
      <c r="C9" s="103" t="s">
        <v>75</v>
      </c>
      <c r="D9" s="96">
        <f>Analisa!AG78</f>
        <v>0.4666666667</v>
      </c>
      <c r="E9" s="67"/>
      <c r="F9" s="67"/>
      <c r="G9" s="100"/>
      <c r="H9" s="101" t="s">
        <v>76</v>
      </c>
      <c r="I9" s="101"/>
      <c r="J9" s="101"/>
      <c r="K9" s="101"/>
      <c r="L9" s="101"/>
      <c r="M9" s="102" t="s">
        <v>77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ht="31.5" customHeight="1">
      <c r="A10" s="91"/>
      <c r="B10" s="92">
        <v>4.0</v>
      </c>
      <c r="C10" s="94" t="s">
        <v>78</v>
      </c>
      <c r="D10" s="96">
        <f>Analisa!AG90</f>
        <v>0.6</v>
      </c>
      <c r="E10" s="67"/>
      <c r="F10" s="67"/>
      <c r="G10" s="100"/>
      <c r="H10" s="101"/>
      <c r="I10" s="101"/>
      <c r="J10" s="101"/>
      <c r="K10" s="101"/>
      <c r="L10" s="101"/>
      <c r="M10" s="104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ht="31.5" customHeight="1">
      <c r="A11" s="91"/>
      <c r="B11" s="92">
        <v>5.0</v>
      </c>
      <c r="C11" s="94" t="s">
        <v>80</v>
      </c>
      <c r="D11" s="96">
        <f>Analisa!AG114</f>
        <v>0.4</v>
      </c>
      <c r="E11" s="70"/>
      <c r="F11" s="70"/>
      <c r="G11" s="100"/>
      <c r="H11" s="105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1"/>
      <c r="B12" s="19"/>
      <c r="C12" s="19"/>
      <c r="D12" s="19"/>
      <c r="E12" s="19"/>
      <c r="F12" s="1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 t="str">
        <f>UPPER(CONCATENATE(L17," ",L18))</f>
        <v>PENILAIAN KETANGGUHAN BENCANA CUACA EKSTREM (ANGIN KENCANG)</v>
      </c>
      <c r="M16" s="1" t="str">
        <f>UPPER(CONCATENATE(M17,", ",M18,", ", M19,", ", M20))</f>
        <v>DESA DESA MEDARI, NGADIREJO, TEMANGGUNG, JAWA TENGAH</v>
      </c>
      <c r="N16" s="1" t="str">
        <f>UPPER(CONCATENATE(N17," ",N18))</f>
        <v>TAHUN 2026</v>
      </c>
      <c r="O16" s="1"/>
      <c r="P16" s="1" t="s">
        <v>85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87</v>
      </c>
      <c r="M17" s="1" t="str">
        <f>IF(ISNUMBER(SEARCH("Kelurahan",'Input Nilai'!D6)),'Input Nilai'!D6,"DESA "&amp;'Input Nilai'!D6)</f>
        <v>DESA Desa Medari</v>
      </c>
      <c r="N17" s="1" t="s">
        <v>88</v>
      </c>
      <c r="O17" s="1"/>
      <c r="P17" s="1" t="str">
        <f>IF(ISNUMBER(SEARCH("Kelurahan",'Input Nilai'!D6)),'Input Nilai'!D6,"DESA "&amp;'Input Nilai'!D6)</f>
        <v>DESA Desa Medari</v>
      </c>
      <c r="Q17" s="1"/>
      <c r="R17" s="116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 t="str">
        <f>'Input Nilai'!D10</f>
        <v>Cuaca Ekstrem (Angin Kencang)</v>
      </c>
      <c r="M18" s="1" t="str">
        <f>'Input Nilai'!D7</f>
        <v>Ngadirejo</v>
      </c>
      <c r="N18" s="1">
        <f>YEAR('Input Nilai'!D5)</f>
        <v>2026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 t="str">
        <f>'Input Nilai'!D8</f>
        <v>Temanggung</v>
      </c>
      <c r="N19" s="1"/>
      <c r="O19" s="1"/>
      <c r="P19" s="1" t="str">
        <f>UPPER(CONCATENATE(P16, P17,T1))</f>
        <v>INDEKS PER KOMPONEN DESA DESA MEDARI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 t="str">
        <f>'Input Nilai'!D9</f>
        <v>Jawa Tengah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C3"/>
    <mergeCell ref="H6:N6"/>
    <mergeCell ref="E7:E11"/>
    <mergeCell ref="F7:F1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38"/>
    <col customWidth="1" min="2" max="2" width="5.75"/>
    <col customWidth="1" min="3" max="3" width="90.25"/>
    <col customWidth="1" hidden="1" min="4" max="6" width="8.0"/>
    <col customWidth="1" min="7" max="23" width="7.63"/>
    <col customWidth="1" min="24" max="26" width="14.38"/>
  </cols>
  <sheetData>
    <row r="1" ht="33.75" customHeight="1">
      <c r="A1" s="3" t="s">
        <v>0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ht="15.75" customHeight="1">
      <c r="A2" s="12" t="str">
        <f>Graphic!M16</f>
        <v>DESA DESA MEDARI, NGADIREJO, TEMANGGUNG, JAWA TENGAH</v>
      </c>
      <c r="B2" s="14"/>
      <c r="C2" s="1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22"/>
      <c r="B3" s="24"/>
      <c r="C3" s="25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27" t="s">
        <v>8</v>
      </c>
      <c r="B4" s="14"/>
      <c r="C4" s="14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28" t="s">
        <v>14</v>
      </c>
      <c r="B5" s="36" t="str">
        <f>'Input Nilai'!B13</f>
        <v>LAYANAN DASAR</v>
      </c>
      <c r="C5" s="16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</row>
    <row r="6" ht="49.5" customHeight="1">
      <c r="A6" s="45"/>
      <c r="B6" s="47">
        <v>1.0</v>
      </c>
      <c r="C6" s="49" t="str">
        <f>Analisa!AJ2</f>
        <v>Melakukan kerjasama dengan dinas/lembaga/organisasi untuk indentifikasi kebutuhan, perencanaan dan pelaksanaan  pengembangan/peningkatan penyelenggaraan layanan pendidikan formal/non formal di Desa/Kelurahan.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</row>
    <row r="7" ht="49.5" customHeight="1">
      <c r="A7" s="53"/>
      <c r="B7" s="24">
        <v>2.0</v>
      </c>
      <c r="C7" s="25" t="str">
        <f>Analisa!AJ6</f>
        <v>Melakukan kerjasama dengan dinas/lembaga/organisasi untuk indentifikasi kebutuhan, perencanaan dan pelaksanaan  pengembangan/peningkatan penyelenggaraan layanan kesehatan formal/non formal di Desa/Kelurahan.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49.5" customHeight="1">
      <c r="A8" s="45"/>
      <c r="B8" s="47">
        <v>3.0</v>
      </c>
      <c r="C8" s="49" t="str">
        <f>Analisa!AJ10</f>
        <v>Melakukan evaluasi, perencanaan dan pelaksanaan layanan sarana/prasarana transportasi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</row>
    <row r="9" ht="49.5" customHeight="1">
      <c r="A9" s="53"/>
      <c r="B9" s="24">
        <v>4.0</v>
      </c>
      <c r="C9" s="25" t="str">
        <f>Analisa!AJ14</f>
        <v>Mengusulkan kerjasama dengan dinas/lembaga/organisasi untuk identifikasi kebutuhan, perencanaan dan pelaksanaan penyelenggaraan program layanan air bersih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49.5" customHeight="1">
      <c r="A10" s="45"/>
      <c r="B10" s="47">
        <v>5.0</v>
      </c>
      <c r="C10" s="49" t="str">
        <f>Analisa!AJ18</f>
        <v>Melakukan kerjasama dengan berbagai pihak baik OPD terkait, akademisi, praktisi pangan dan gizi serta lembaga lainnya..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</row>
    <row r="11" ht="49.5" customHeight="1">
      <c r="A11" s="53"/>
      <c r="B11" s="24">
        <v>6.0</v>
      </c>
      <c r="C11" s="25" t="str">
        <f>Analisa!AJ22</f>
        <v>Melakukan kerjasama dengan berbagai pihak baik OPD terkait, Akademisi, dunia usaha maupun  Asosiasi layanan pengembangan ekonomi dan bisnis lainnya.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49.5" customHeight="1">
      <c r="A12" s="45"/>
      <c r="B12" s="47">
        <v>7.0</v>
      </c>
      <c r="C12" s="49" t="str">
        <f>Analisa!AJ26</f>
        <v>Melakukan kerjasama dengan dinas/lembaga/organisasi untuk indentifikasi kebutuhan, perencanaan dan pelaksanaan  pengembangan/peningkatan penyelenggaraan sarana dan prasarana komunikasi/informasi di Desa/Kelurahan.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</row>
    <row r="13" ht="49.5" customHeight="1">
      <c r="A13" s="53"/>
      <c r="B13" s="24">
        <v>8.0</v>
      </c>
      <c r="C13" s="25" t="str">
        <f>Analisa!AJ30</f>
        <v>Melakukan kerjasama dengan dinas/lembaga/organisasi untuk indentifikasi kebutuhan, perencanaan dan pelaksanaan  pengembangan/peningkatan penyelenggaraan pelayanan administrasi dan kependudukan di Desa/Kelurahan.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49.5" customHeight="1">
      <c r="A14" s="45"/>
      <c r="B14" s="47">
        <v>9.0</v>
      </c>
      <c r="C14" s="49" t="str">
        <f>Analisa!AJ34</f>
        <v>Melakukan kerjasama dengan dinas/lembaga/organisasi untuk indentifikasi kebutuhan, perencanaan dan pelaksanaan pengembangan/peningkatan penyelenggaraan layanan perlindungan dan pengelolaan lingkungan hidup di Desa/Kelurahan.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</row>
    <row r="15" ht="49.5" customHeight="1">
      <c r="A15" s="53"/>
      <c r="B15" s="24">
        <v>10.0</v>
      </c>
      <c r="C15" s="25" t="str">
        <f>Analisa!AJ38</f>
        <v>Pengusulan penyelenggaraan layanan keagamaan melalui mekanisme Musrenbang Desa/Kelurahan hingga Musrenbang Kabupaten/Kota, sesuai SPM bidang keagamaan.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49.5" customHeight="1">
      <c r="A16" s="45"/>
      <c r="B16" s="47">
        <v>11.0</v>
      </c>
      <c r="C16" s="49" t="str">
        <f>Analisa!AJ42</f>
        <v>Melakukan kerjasama dengan Dinas/lembaga/organisasi untuk mengembangkan dan meningkatkan kegiatan kebudayaan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</row>
    <row r="17" ht="49.5" customHeight="1">
      <c r="A17" s="53"/>
      <c r="B17" s="24">
        <v>12.0</v>
      </c>
      <c r="C17" s="25" t="str">
        <f>Analisa!AJ46</f>
        <v>Melakukan kerjasama dengan Dinas/lembaga/organisasi untuk mengembangkan dan meningkatkan kegiatan perlindungan keamanan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49.5" customHeight="1">
      <c r="A18" s="45"/>
      <c r="B18" s="47">
        <v>13.0</v>
      </c>
      <c r="C18" s="49" t="str">
        <f>Analisa!AJ50</f>
        <v>Melakukan kerjasama dengan dinas/lembaga/organisasi untuk indentifikasi kebutuhan, perencanaan dan pelaksanaan  pengembangan/peningkatan pemberdayaan perempuan dan perlindungan anak 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</row>
    <row r="19" ht="49.5" customHeight="1">
      <c r="A19" s="53"/>
      <c r="B19" s="24">
        <v>14.0</v>
      </c>
      <c r="C19" s="25" t="str">
        <f>Analisa!AJ54</f>
        <v>Mengusulkan pembentukan lembaga, penyelenggaraan kegiatan dan penyusunan peraturan untuk layanan khusus difabel 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28" t="s">
        <v>57</v>
      </c>
      <c r="B20" s="82" t="str">
        <f>'Input Nilai'!B69</f>
        <v>PERATURAN DAN KEBIJAKAN PENANGGULANGAN BENCANA</v>
      </c>
      <c r="C20" s="16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</row>
    <row r="21" ht="49.5" customHeight="1">
      <c r="A21" s="45"/>
      <c r="B21" s="47">
        <v>15.0</v>
      </c>
      <c r="C21" s="49" t="str">
        <f>Analisa!AJ58</f>
        <v>Mengusulkan pengkajian risiko bencana melalui mekanisme Musrenbang Desa/Kelurahan.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</row>
    <row r="22" ht="49.5" customHeight="1">
      <c r="A22" s="53"/>
      <c r="B22" s="24">
        <v>16.0</v>
      </c>
      <c r="C22" s="25" t="str">
        <f>Analisa!AJ62</f>
        <v>Melakukan kerjasama dengan pihak lain untuk penyusunan dokumen RPB.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ht="49.5" customHeight="1">
      <c r="A23" s="45"/>
      <c r="B23" s="47">
        <v>17.0</v>
      </c>
      <c r="C23" s="49" t="str">
        <f>Analisa!AJ66</f>
        <v>Menjalin kerjasama penyelenggaraan pelatihan penanggulangan bencana dengan pihak-pihak lain.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</row>
    <row r="24" ht="49.5" customHeight="1">
      <c r="A24" s="53"/>
      <c r="B24" s="24">
        <v>18.0</v>
      </c>
      <c r="C24" s="25" t="str">
        <f>Analisa!AJ70</f>
        <v>Mengusulkan pembentukan organisasi/kelompok Penanggulangan Bencana Desa melalui Musrenbang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ht="15.75" customHeight="1">
      <c r="A25" s="28" t="s">
        <v>60</v>
      </c>
      <c r="B25" s="82" t="str">
        <f>'Input Nilai'!B89</f>
        <v>PENCEGAHAN DAN MITIGASI</v>
      </c>
      <c r="C25" s="16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</row>
    <row r="26" ht="49.5" customHeight="1">
      <c r="A26" s="45"/>
      <c r="B26" s="47">
        <v>19.0</v>
      </c>
      <c r="C26" s="49" t="str">
        <f>Analisa!AJ74</f>
        <v>Mengusulkan ada Standart Operasional Prosedure atau sejenisnya mengenai kerjasama dengan pihak luar dalam pelaksanaan kegiatan penanggulangan bencana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</row>
    <row r="27" ht="49.5" customHeight="1">
      <c r="A27" s="53"/>
      <c r="B27" s="24">
        <v>20.0</v>
      </c>
      <c r="C27" s="25" t="str">
        <f>Analisa!AJ78</f>
        <v>Melakukan kerjasama dengan pihak lain dalam melakukan kegiatan pencegahan bencana.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ht="49.5" customHeight="1">
      <c r="A28" s="45"/>
      <c r="B28" s="47">
        <v>21.0</v>
      </c>
      <c r="C28" s="49" t="str">
        <f>Analisa!AJ82</f>
        <v>Mengusulkan kegiatan mitigasi bencana menggunakan anggaran desa.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</row>
    <row r="29" ht="49.5" customHeight="1">
      <c r="A29" s="53"/>
      <c r="B29" s="24">
        <v>22.0</v>
      </c>
      <c r="C29" s="25" t="str">
        <f>Analisa!AJ86</f>
        <v>Mengusulkan kegiatan sosialisasi pengetahuan kebencanaan menggunakan anggaran desa.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ht="15.75" customHeight="1">
      <c r="A30" s="93" t="s">
        <v>64</v>
      </c>
      <c r="B30" s="95" t="str">
        <f>'Input Nilai'!B101</f>
        <v>KESIAPSIAGAAN DARURAT</v>
      </c>
      <c r="C30" s="16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</row>
    <row r="31" ht="49.5" customHeight="1">
      <c r="A31" s="45"/>
      <c r="B31" s="47">
        <v>23.0</v>
      </c>
      <c r="C31" s="49" t="str">
        <f>Analisa!AJ90</f>
        <v>Desa/Kelurahan segera mengembangkan penyediaan peringatan bahaya efektif 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</row>
    <row r="32" ht="49.5" customHeight="1">
      <c r="A32" s="53"/>
      <c r="B32" s="24">
        <v>24.0</v>
      </c>
      <c r="C32" s="25" t="str">
        <f>Analisa!AJ94</f>
        <v>Bekerjasama dengan desa/kelurahan lain atau pihak lain dalam meningkatkan efektifitas penyebarluasan peringatah bahaya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ht="49.5" customHeight="1">
      <c r="A33" s="45"/>
      <c r="B33" s="47">
        <v>25.0</v>
      </c>
      <c r="C33" s="49" t="str">
        <f>Analisa!AJ98</f>
        <v>Membangun kerjasama dengan desa/kelurahan atau pihak lain tentang penyusunan atau pengembangan rencana evakuasi bencana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</row>
    <row r="34" ht="49.5" customHeight="1">
      <c r="A34" s="53"/>
      <c r="B34" s="24">
        <v>26.0</v>
      </c>
      <c r="C34" s="25" t="str">
        <f>Analisa!AJ102</f>
        <v>Melakukan kerjasama dengan Dinas/lembaga/organisasi untuk mengembangkan dan meningkatkan jalur evakuasi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ht="49.5" customHeight="1">
      <c r="A35" s="45"/>
      <c r="B35" s="47">
        <v>27.0</v>
      </c>
      <c r="C35" s="49" t="str">
        <f>Analisa!AJ106</f>
        <v>Desa/Kelurahan perlu merencanakan dan menetapkan tempat pengungsian bencana dengan melibatkan masyarakat berpotensi terdampak bencana serta berkoordinasi dengan BPBD/dinas/lembaga/organisasi dalam sistem kesiapsiagaan setempat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</row>
    <row r="36" ht="49.5" customHeight="1">
      <c r="A36" s="53"/>
      <c r="B36" s="24">
        <v>28.0</v>
      </c>
      <c r="C36" s="25" t="str">
        <f>Analisa!AJ110</f>
        <v>Desa/Kelurahan perlu melakukan uji kesiapsiagaan/simulasi menghadapi bencana secara rutin untuk meningkatkan kesiapan masyarakat dan seluruh sistem kesiapsiagaan 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ht="15.75" customHeight="1">
      <c r="A37" s="28" t="s">
        <v>74</v>
      </c>
      <c r="B37" s="82" t="str">
        <f>'Input Nilai'!B125</f>
        <v>KESIAPSIAGAAN PEMULIHAN</v>
      </c>
      <c r="C37" s="16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</row>
    <row r="38" ht="49.5" customHeight="1">
      <c r="A38" s="45"/>
      <c r="B38" s="47">
        <v>29.0</v>
      </c>
      <c r="C38" s="49" t="str">
        <f>Analisa!AJ114</f>
        <v>Mengusulkan kegiatan penyusunan mekanisme penilaian pasca bencana secara mandiri menggunakan anggaran desa.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</row>
    <row r="39" ht="49.5" customHeight="1">
      <c r="A39" s="53"/>
      <c r="B39" s="24">
        <v>30.0</v>
      </c>
      <c r="C39" s="25" t="str">
        <f>Analisa!AJ118</f>
        <v>Mengusulkan kegiatan penyusunan mekanisme pemulihan dini mandiri menggunakan anggaran desa.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ht="49.5" customHeight="1">
      <c r="A40" s="45"/>
      <c r="B40" s="47">
        <v>31.0</v>
      </c>
      <c r="C40" s="49" t="str">
        <f>Analisa!AJ122</f>
        <v>Mengusulkan kegiatan penyusunan mekanisme pengelolaan bantuan secara mandiri yang transparan dan akuntabel menggunakan anggaran desa.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</row>
    <row r="41" ht="49.5" customHeight="1">
      <c r="A41" s="53"/>
      <c r="B41" s="24">
        <v>32.0</v>
      </c>
      <c r="C41" s="25" t="str">
        <f>Analisa!AJ126</f>
        <v>Melakukan kerjasama dengan pihak lain dalam melakukan pengembangan/peningkatan rencana untuk membangun fasilitas tersebut secara lebih kuat dan aman pasca bencana.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ht="3.75" customHeight="1">
      <c r="A42" s="106"/>
      <c r="B42" s="107"/>
      <c r="C42" s="10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ht="15.75" customHeight="1">
      <c r="A43" s="109"/>
      <c r="B43" s="110"/>
      <c r="C43" s="1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ht="15.75" hidden="1" customHeight="1">
      <c r="A44" s="112"/>
      <c r="B44" s="113"/>
      <c r="C44" s="11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ht="15.75" hidden="1" customHeight="1">
      <c r="A45" s="112"/>
      <c r="B45" s="113"/>
      <c r="C45" s="11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ht="15.75" hidden="1" customHeight="1">
      <c r="A46" s="112"/>
      <c r="B46" s="113"/>
      <c r="C46" s="11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ht="15.75" hidden="1" customHeight="1">
      <c r="A47" s="112"/>
      <c r="B47" s="113"/>
      <c r="C47" s="11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ht="15.75" hidden="1" customHeight="1">
      <c r="A48" s="112"/>
      <c r="B48" s="113"/>
      <c r="C48" s="11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ht="15.75" hidden="1" customHeight="1">
      <c r="A49" s="112"/>
      <c r="B49" s="113"/>
      <c r="C49" s="11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ht="15.75" hidden="1" customHeight="1">
      <c r="A50" s="112"/>
      <c r="B50" s="113"/>
      <c r="C50" s="11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ht="15.75" hidden="1" customHeight="1">
      <c r="A51" s="112"/>
      <c r="B51" s="113"/>
      <c r="C51" s="11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ht="15.75" hidden="1" customHeight="1">
      <c r="A52" s="112"/>
      <c r="B52" s="113"/>
      <c r="C52" s="11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ht="15.75" hidden="1" customHeight="1">
      <c r="A53" s="112"/>
      <c r="B53" s="113"/>
      <c r="C53" s="11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ht="15.75" hidden="1" customHeight="1">
      <c r="A54" s="112"/>
      <c r="B54" s="113"/>
      <c r="C54" s="11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ht="15.75" hidden="1" customHeight="1">
      <c r="A55" s="112"/>
      <c r="B55" s="113"/>
      <c r="C55" s="11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ht="15.75" hidden="1" customHeight="1">
      <c r="A56" s="112"/>
      <c r="B56" s="113"/>
      <c r="C56" s="11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ht="15.75" hidden="1" customHeight="1">
      <c r="A57" s="112"/>
      <c r="B57" s="113"/>
      <c r="C57" s="11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ht="15.75" hidden="1" customHeight="1">
      <c r="A58" s="112"/>
      <c r="B58" s="113"/>
      <c r="C58" s="11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ht="15.75" hidden="1" customHeight="1">
      <c r="A59" s="112"/>
      <c r="B59" s="113"/>
      <c r="C59" s="11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ht="15.75" hidden="1" customHeight="1">
      <c r="A60" s="112"/>
      <c r="B60" s="113"/>
      <c r="C60" s="11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ht="15.75" hidden="1" customHeight="1">
      <c r="A61" s="112"/>
      <c r="B61" s="113"/>
      <c r="C61" s="11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ht="15.75" hidden="1" customHeight="1">
      <c r="A62" s="112"/>
      <c r="B62" s="113"/>
      <c r="C62" s="11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ht="15.75" hidden="1" customHeight="1">
      <c r="A63" s="112"/>
      <c r="B63" s="113"/>
      <c r="C63" s="11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ht="15.75" hidden="1" customHeight="1">
      <c r="A64" s="112"/>
      <c r="B64" s="113"/>
      <c r="C64" s="11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ht="15.75" hidden="1" customHeight="1">
      <c r="A65" s="112"/>
      <c r="B65" s="113"/>
      <c r="C65" s="11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ht="15.75" hidden="1" customHeight="1">
      <c r="A66" s="112"/>
      <c r="B66" s="113"/>
      <c r="C66" s="11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ht="15.75" hidden="1" customHeight="1">
      <c r="A67" s="112"/>
      <c r="B67" s="113"/>
      <c r="C67" s="11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ht="15.75" hidden="1" customHeight="1">
      <c r="A68" s="112"/>
      <c r="B68" s="113"/>
      <c r="C68" s="11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ht="15.75" hidden="1" customHeight="1">
      <c r="A69" s="112"/>
      <c r="B69" s="113"/>
      <c r="C69" s="11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ht="15.75" hidden="1" customHeight="1">
      <c r="A70" s="112"/>
      <c r="B70" s="113"/>
      <c r="C70" s="11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ht="15.75" hidden="1" customHeight="1">
      <c r="A71" s="112"/>
      <c r="B71" s="113"/>
      <c r="C71" s="11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ht="15.75" hidden="1" customHeight="1">
      <c r="A72" s="112"/>
      <c r="B72" s="113"/>
      <c r="C72" s="11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ht="15.75" hidden="1" customHeight="1">
      <c r="A73" s="112"/>
      <c r="B73" s="113"/>
      <c r="C73" s="11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ht="15.75" hidden="1" customHeight="1">
      <c r="A74" s="112"/>
      <c r="B74" s="113"/>
      <c r="C74" s="11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ht="15.75" hidden="1" customHeight="1">
      <c r="A75" s="112"/>
      <c r="B75" s="113"/>
      <c r="C75" s="11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ht="15.75" hidden="1" customHeight="1">
      <c r="A76" s="112"/>
      <c r="B76" s="113"/>
      <c r="C76" s="11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ht="15.75" hidden="1" customHeight="1">
      <c r="A77" s="112"/>
      <c r="B77" s="113"/>
      <c r="C77" s="11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ht="15.75" hidden="1" customHeight="1">
      <c r="A78" s="112"/>
      <c r="B78" s="113"/>
      <c r="C78" s="11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ht="15.75" hidden="1" customHeight="1">
      <c r="A79" s="112"/>
      <c r="B79" s="113"/>
      <c r="C79" s="11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ht="15.75" hidden="1" customHeight="1">
      <c r="A80" s="112"/>
      <c r="B80" s="113"/>
      <c r="C80" s="11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ht="15.75" hidden="1" customHeight="1">
      <c r="A81" s="112"/>
      <c r="B81" s="113"/>
      <c r="C81" s="11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ht="15.75" hidden="1" customHeight="1">
      <c r="A82" s="112"/>
      <c r="B82" s="113"/>
      <c r="C82" s="11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ht="15.75" hidden="1" customHeight="1">
      <c r="A83" s="112"/>
      <c r="B83" s="113"/>
      <c r="C83" s="11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ht="15.75" hidden="1" customHeight="1">
      <c r="A84" s="112"/>
      <c r="B84" s="113"/>
      <c r="C84" s="11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ht="15.75" hidden="1" customHeight="1">
      <c r="A85" s="112"/>
      <c r="B85" s="113"/>
      <c r="C85" s="11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ht="15.75" hidden="1" customHeight="1">
      <c r="A86" s="112"/>
      <c r="B86" s="113"/>
      <c r="C86" s="11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ht="15.75" hidden="1" customHeight="1">
      <c r="A87" s="112"/>
      <c r="B87" s="113"/>
      <c r="C87" s="11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ht="15.75" hidden="1" customHeight="1">
      <c r="A88" s="112"/>
      <c r="B88" s="113"/>
      <c r="C88" s="11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ht="15.75" hidden="1" customHeight="1">
      <c r="A89" s="112"/>
      <c r="B89" s="113"/>
      <c r="C89" s="11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ht="15.75" hidden="1" customHeight="1">
      <c r="A90" s="112"/>
      <c r="B90" s="113"/>
      <c r="C90" s="11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ht="15.75" hidden="1" customHeight="1">
      <c r="A91" s="112"/>
      <c r="B91" s="113"/>
      <c r="C91" s="11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ht="15.75" hidden="1" customHeight="1">
      <c r="A92" s="112"/>
      <c r="B92" s="113"/>
      <c r="C92" s="11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ht="15.75" hidden="1" customHeight="1">
      <c r="A93" s="112"/>
      <c r="B93" s="113"/>
      <c r="C93" s="11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ht="15.75" hidden="1" customHeight="1">
      <c r="A94" s="112"/>
      <c r="B94" s="113"/>
      <c r="C94" s="11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ht="15.75" hidden="1" customHeight="1">
      <c r="A95" s="112"/>
      <c r="B95" s="113"/>
      <c r="C95" s="11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ht="15.75" hidden="1" customHeight="1">
      <c r="A96" s="112"/>
      <c r="B96" s="113"/>
      <c r="C96" s="11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ht="15.75" hidden="1" customHeight="1">
      <c r="A97" s="112"/>
      <c r="B97" s="113"/>
      <c r="C97" s="11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ht="15.75" hidden="1" customHeight="1">
      <c r="A98" s="112"/>
      <c r="B98" s="113"/>
      <c r="C98" s="11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ht="15.75" hidden="1" customHeight="1">
      <c r="A99" s="112"/>
      <c r="B99" s="113"/>
      <c r="C99" s="11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ht="15.75" hidden="1" customHeight="1">
      <c r="A100" s="112"/>
      <c r="B100" s="113"/>
      <c r="C100" s="11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ht="15.75" hidden="1" customHeight="1">
      <c r="A101" s="112"/>
      <c r="B101" s="113"/>
      <c r="C101" s="11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ht="15.75" hidden="1" customHeight="1">
      <c r="A102" s="112"/>
      <c r="B102" s="113"/>
      <c r="C102" s="11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ht="15.75" hidden="1" customHeight="1">
      <c r="A103" s="112"/>
      <c r="B103" s="113"/>
      <c r="C103" s="11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ht="15.75" hidden="1" customHeight="1">
      <c r="A104" s="112"/>
      <c r="B104" s="113"/>
      <c r="C104" s="11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ht="15.75" hidden="1" customHeight="1">
      <c r="A105" s="112"/>
      <c r="B105" s="113"/>
      <c r="C105" s="11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ht="15.75" hidden="1" customHeight="1">
      <c r="A106" s="112"/>
      <c r="B106" s="113"/>
      <c r="C106" s="11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ht="15.75" hidden="1" customHeight="1">
      <c r="A107" s="112"/>
      <c r="B107" s="113"/>
      <c r="C107" s="11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ht="15.75" hidden="1" customHeight="1">
      <c r="A108" s="112"/>
      <c r="B108" s="113"/>
      <c r="C108" s="11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ht="15.75" hidden="1" customHeight="1">
      <c r="A109" s="112"/>
      <c r="B109" s="113"/>
      <c r="C109" s="11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ht="15.75" hidden="1" customHeight="1">
      <c r="A110" s="112"/>
      <c r="B110" s="113"/>
      <c r="C110" s="11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ht="15.75" hidden="1" customHeight="1">
      <c r="A111" s="112"/>
      <c r="B111" s="113"/>
      <c r="C111" s="11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ht="15.75" hidden="1" customHeight="1">
      <c r="A112" s="112"/>
      <c r="B112" s="113"/>
      <c r="C112" s="11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ht="15.75" hidden="1" customHeight="1">
      <c r="A113" s="112"/>
      <c r="B113" s="113"/>
      <c r="C113" s="11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ht="15.75" hidden="1" customHeight="1">
      <c r="A114" s="112"/>
      <c r="B114" s="113"/>
      <c r="C114" s="11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ht="15.75" hidden="1" customHeight="1">
      <c r="A115" s="112"/>
      <c r="B115" s="113"/>
      <c r="C115" s="11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ht="15.75" hidden="1" customHeight="1">
      <c r="A116" s="112"/>
      <c r="B116" s="113"/>
      <c r="C116" s="11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ht="15.75" hidden="1" customHeight="1">
      <c r="A117" s="112"/>
      <c r="B117" s="113"/>
      <c r="C117" s="11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ht="15.75" hidden="1" customHeight="1">
      <c r="A118" s="112"/>
      <c r="B118" s="113"/>
      <c r="C118" s="11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ht="15.75" hidden="1" customHeight="1">
      <c r="A119" s="112"/>
      <c r="B119" s="113"/>
      <c r="C119" s="11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ht="15.75" hidden="1" customHeight="1">
      <c r="A120" s="112"/>
      <c r="B120" s="113"/>
      <c r="C120" s="11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ht="15.75" hidden="1" customHeight="1">
      <c r="A121" s="112"/>
      <c r="B121" s="113"/>
      <c r="C121" s="11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ht="15.75" hidden="1" customHeight="1">
      <c r="A122" s="112"/>
      <c r="B122" s="113"/>
      <c r="C122" s="11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ht="15.75" hidden="1" customHeight="1">
      <c r="A123" s="112"/>
      <c r="B123" s="113"/>
      <c r="C123" s="11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ht="15.75" hidden="1" customHeight="1">
      <c r="A124" s="112"/>
      <c r="B124" s="113"/>
      <c r="C124" s="11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ht="15.75" hidden="1" customHeight="1">
      <c r="A125" s="112"/>
      <c r="B125" s="113"/>
      <c r="C125" s="11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ht="15.75" hidden="1" customHeight="1">
      <c r="A126" s="112"/>
      <c r="B126" s="113"/>
      <c r="C126" s="11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ht="15.75" hidden="1" customHeight="1">
      <c r="A127" s="112"/>
      <c r="B127" s="113"/>
      <c r="C127" s="11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ht="15.75" hidden="1" customHeight="1">
      <c r="A128" s="112"/>
      <c r="B128" s="113"/>
      <c r="C128" s="11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ht="15.75" hidden="1" customHeight="1">
      <c r="A129" s="112"/>
      <c r="B129" s="113"/>
      <c r="C129" s="11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ht="15.75" hidden="1" customHeight="1">
      <c r="A130" s="112"/>
      <c r="B130" s="113"/>
      <c r="C130" s="11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ht="15.75" hidden="1" customHeight="1">
      <c r="A131" s="112"/>
      <c r="B131" s="113"/>
      <c r="C131" s="11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ht="15.75" hidden="1" customHeight="1">
      <c r="A132" s="112"/>
      <c r="B132" s="113"/>
      <c r="C132" s="11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ht="15.75" hidden="1" customHeight="1">
      <c r="A133" s="112"/>
      <c r="B133" s="113"/>
      <c r="C133" s="11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ht="15.75" hidden="1" customHeight="1">
      <c r="A134" s="112"/>
      <c r="B134" s="113"/>
      <c r="C134" s="11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ht="15.75" hidden="1" customHeight="1">
      <c r="A135" s="112"/>
      <c r="B135" s="113"/>
      <c r="C135" s="11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ht="15.75" hidden="1" customHeight="1">
      <c r="A136" s="112"/>
      <c r="B136" s="113"/>
      <c r="C136" s="11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ht="15.75" hidden="1" customHeight="1">
      <c r="A137" s="112"/>
      <c r="B137" s="113"/>
      <c r="C137" s="11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ht="15.75" hidden="1" customHeight="1">
      <c r="A138" s="112"/>
      <c r="B138" s="113"/>
      <c r="C138" s="11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ht="15.75" hidden="1" customHeight="1">
      <c r="A139" s="112"/>
      <c r="B139" s="113"/>
      <c r="C139" s="11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ht="15.75" hidden="1" customHeight="1">
      <c r="A140" s="112"/>
      <c r="B140" s="113"/>
      <c r="C140" s="11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ht="15.75" hidden="1" customHeight="1">
      <c r="A141" s="112"/>
      <c r="B141" s="113"/>
      <c r="C141" s="11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ht="15.75" hidden="1" customHeight="1">
      <c r="A142" s="112"/>
      <c r="B142" s="113"/>
      <c r="C142" s="11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ht="15.75" hidden="1" customHeight="1">
      <c r="A143" s="112"/>
      <c r="B143" s="113"/>
      <c r="C143" s="11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ht="15.75" hidden="1" customHeight="1">
      <c r="A144" s="112"/>
      <c r="B144" s="113"/>
      <c r="C144" s="11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ht="15.75" hidden="1" customHeight="1">
      <c r="A145" s="112"/>
      <c r="B145" s="113"/>
      <c r="C145" s="11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ht="15.75" hidden="1" customHeight="1">
      <c r="A146" s="112"/>
      <c r="B146" s="113"/>
      <c r="C146" s="11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ht="15.75" hidden="1" customHeight="1">
      <c r="A147" s="112"/>
      <c r="B147" s="113"/>
      <c r="C147" s="11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ht="15.75" hidden="1" customHeight="1">
      <c r="A148" s="112"/>
      <c r="B148" s="113"/>
      <c r="C148" s="11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ht="15.75" hidden="1" customHeight="1">
      <c r="A149" s="112"/>
      <c r="B149" s="113"/>
      <c r="C149" s="11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ht="15.75" hidden="1" customHeight="1">
      <c r="A150" s="112"/>
      <c r="B150" s="113"/>
      <c r="C150" s="11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ht="15.75" hidden="1" customHeight="1">
      <c r="A151" s="112"/>
      <c r="B151" s="113"/>
      <c r="C151" s="11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ht="15.75" hidden="1" customHeight="1">
      <c r="A152" s="112"/>
      <c r="B152" s="113"/>
      <c r="C152" s="11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ht="15.75" hidden="1" customHeight="1">
      <c r="A153" s="112"/>
      <c r="B153" s="113"/>
      <c r="C153" s="11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ht="15.75" hidden="1" customHeight="1">
      <c r="A154" s="112"/>
      <c r="B154" s="113"/>
      <c r="C154" s="11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ht="15.75" hidden="1" customHeight="1">
      <c r="A155" s="112"/>
      <c r="B155" s="113"/>
      <c r="C155" s="11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ht="15.75" hidden="1" customHeight="1">
      <c r="A156" s="112"/>
      <c r="B156" s="113"/>
      <c r="C156" s="11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ht="15.75" hidden="1" customHeight="1">
      <c r="A157" s="112"/>
      <c r="B157" s="113"/>
      <c r="C157" s="11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ht="15.75" hidden="1" customHeight="1">
      <c r="A158" s="112"/>
      <c r="B158" s="113"/>
      <c r="C158" s="11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ht="15.75" hidden="1" customHeight="1">
      <c r="A159" s="112"/>
      <c r="B159" s="113"/>
      <c r="C159" s="11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ht="15.75" hidden="1" customHeight="1">
      <c r="A160" s="112"/>
      <c r="B160" s="113"/>
      <c r="C160" s="11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ht="15.75" hidden="1" customHeight="1">
      <c r="A161" s="112"/>
      <c r="B161" s="113"/>
      <c r="C161" s="11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ht="15.75" hidden="1" customHeight="1">
      <c r="A162" s="112"/>
      <c r="B162" s="113"/>
      <c r="C162" s="11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ht="15.75" hidden="1" customHeight="1">
      <c r="A163" s="112"/>
      <c r="B163" s="113"/>
      <c r="C163" s="11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ht="15.75" hidden="1" customHeight="1">
      <c r="A164" s="112"/>
      <c r="B164" s="113"/>
      <c r="C164" s="11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ht="15.75" hidden="1" customHeight="1">
      <c r="A165" s="112"/>
      <c r="B165" s="113"/>
      <c r="C165" s="11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ht="15.75" hidden="1" customHeight="1">
      <c r="A166" s="112"/>
      <c r="B166" s="113"/>
      <c r="C166" s="11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ht="15.75" hidden="1" customHeight="1">
      <c r="A167" s="112"/>
      <c r="B167" s="113"/>
      <c r="C167" s="11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ht="15.75" hidden="1" customHeight="1">
      <c r="A168" s="112"/>
      <c r="B168" s="113"/>
      <c r="C168" s="11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ht="15.75" hidden="1" customHeight="1">
      <c r="A169" s="112"/>
      <c r="B169" s="113"/>
      <c r="C169" s="11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ht="15.75" hidden="1" customHeight="1">
      <c r="A170" s="112"/>
      <c r="B170" s="113"/>
      <c r="C170" s="11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ht="15.75" hidden="1" customHeight="1">
      <c r="A171" s="112"/>
      <c r="B171" s="113"/>
      <c r="C171" s="11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ht="15.75" hidden="1" customHeight="1">
      <c r="A172" s="112"/>
      <c r="B172" s="113"/>
      <c r="C172" s="11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ht="15.75" hidden="1" customHeight="1">
      <c r="A173" s="112"/>
      <c r="B173" s="113"/>
      <c r="C173" s="11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ht="15.75" hidden="1" customHeight="1">
      <c r="A174" s="112"/>
      <c r="B174" s="113"/>
      <c r="C174" s="11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ht="15.75" hidden="1" customHeight="1">
      <c r="A175" s="112"/>
      <c r="B175" s="113"/>
      <c r="C175" s="11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ht="15.75" hidden="1" customHeight="1">
      <c r="A176" s="112"/>
      <c r="B176" s="113"/>
      <c r="C176" s="11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ht="15.75" hidden="1" customHeight="1">
      <c r="A177" s="112"/>
      <c r="B177" s="113"/>
      <c r="C177" s="11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ht="15.75" hidden="1" customHeight="1">
      <c r="A178" s="112"/>
      <c r="B178" s="113"/>
      <c r="C178" s="11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ht="15.75" hidden="1" customHeight="1">
      <c r="A179" s="112"/>
      <c r="B179" s="113"/>
      <c r="C179" s="11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ht="15.75" hidden="1" customHeight="1">
      <c r="A180" s="112"/>
      <c r="B180" s="113"/>
      <c r="C180" s="11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ht="15.75" hidden="1" customHeight="1">
      <c r="A181" s="112"/>
      <c r="B181" s="113"/>
      <c r="C181" s="11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ht="15.75" hidden="1" customHeight="1">
      <c r="A182" s="112"/>
      <c r="B182" s="113"/>
      <c r="C182" s="11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ht="15.75" hidden="1" customHeight="1">
      <c r="A183" s="112"/>
      <c r="B183" s="113"/>
      <c r="C183" s="11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ht="15.75" hidden="1" customHeight="1">
      <c r="A184" s="112"/>
      <c r="B184" s="113"/>
      <c r="C184" s="11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ht="15.75" hidden="1" customHeight="1">
      <c r="A185" s="112"/>
      <c r="B185" s="113"/>
      <c r="C185" s="11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ht="15.75" hidden="1" customHeight="1">
      <c r="A186" s="112"/>
      <c r="B186" s="113"/>
      <c r="C186" s="11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ht="15.75" hidden="1" customHeight="1">
      <c r="A187" s="112"/>
      <c r="B187" s="113"/>
      <c r="C187" s="11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ht="15.75" hidden="1" customHeight="1">
      <c r="A188" s="112"/>
      <c r="B188" s="113"/>
      <c r="C188" s="11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ht="15.75" hidden="1" customHeight="1">
      <c r="A189" s="112"/>
      <c r="B189" s="113"/>
      <c r="C189" s="11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ht="15.75" hidden="1" customHeight="1">
      <c r="A190" s="112"/>
      <c r="B190" s="113"/>
      <c r="C190" s="11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ht="15.75" hidden="1" customHeight="1">
      <c r="A191" s="112"/>
      <c r="B191" s="113"/>
      <c r="C191" s="11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ht="15.75" hidden="1" customHeight="1">
      <c r="A192" s="112"/>
      <c r="B192" s="113"/>
      <c r="C192" s="11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ht="15.75" hidden="1" customHeight="1">
      <c r="A193" s="112"/>
      <c r="B193" s="113"/>
      <c r="C193" s="11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ht="15.75" hidden="1" customHeight="1">
      <c r="A194" s="112"/>
      <c r="B194" s="113"/>
      <c r="C194" s="11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ht="15.75" hidden="1" customHeight="1">
      <c r="A195" s="112"/>
      <c r="B195" s="113"/>
      <c r="C195" s="11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ht="15.75" hidden="1" customHeight="1">
      <c r="A196" s="112"/>
      <c r="B196" s="113"/>
      <c r="C196" s="11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ht="15.75" hidden="1" customHeight="1">
      <c r="A197" s="112"/>
      <c r="B197" s="113"/>
      <c r="C197" s="11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ht="15.75" hidden="1" customHeight="1">
      <c r="A198" s="112"/>
      <c r="B198" s="113"/>
      <c r="C198" s="11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ht="15.75" hidden="1" customHeight="1">
      <c r="A199" s="112"/>
      <c r="B199" s="113"/>
      <c r="C199" s="11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ht="15.75" hidden="1" customHeight="1">
      <c r="A200" s="112"/>
      <c r="B200" s="113"/>
      <c r="C200" s="11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ht="15.75" hidden="1" customHeight="1">
      <c r="A201" s="112"/>
      <c r="B201" s="113"/>
      <c r="C201" s="11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ht="15.75" hidden="1" customHeight="1">
      <c r="A202" s="112"/>
      <c r="B202" s="113"/>
      <c r="C202" s="11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ht="15.75" hidden="1" customHeight="1">
      <c r="A203" s="112"/>
      <c r="B203" s="113"/>
      <c r="C203" s="11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ht="15.75" hidden="1" customHeight="1">
      <c r="A204" s="112"/>
      <c r="B204" s="113"/>
      <c r="C204" s="11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ht="15.75" hidden="1" customHeight="1">
      <c r="A205" s="112"/>
      <c r="B205" s="113"/>
      <c r="C205" s="11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ht="15.75" hidden="1" customHeight="1">
      <c r="A206" s="112"/>
      <c r="B206" s="113"/>
      <c r="C206" s="11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ht="15.75" hidden="1" customHeight="1">
      <c r="A207" s="112"/>
      <c r="B207" s="113"/>
      <c r="C207" s="11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ht="15.75" hidden="1" customHeight="1">
      <c r="A208" s="112"/>
      <c r="B208" s="113"/>
      <c r="C208" s="11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ht="15.75" hidden="1" customHeight="1">
      <c r="A209" s="112"/>
      <c r="B209" s="113"/>
      <c r="C209" s="11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ht="15.75" hidden="1" customHeight="1">
      <c r="A210" s="112"/>
      <c r="B210" s="113"/>
      <c r="C210" s="11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ht="15.75" hidden="1" customHeight="1">
      <c r="A211" s="112"/>
      <c r="B211" s="113"/>
      <c r="C211" s="11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ht="15.75" hidden="1" customHeight="1">
      <c r="A212" s="112"/>
      <c r="B212" s="113"/>
      <c r="C212" s="11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ht="15.75" hidden="1" customHeight="1">
      <c r="A213" s="112"/>
      <c r="B213" s="113"/>
      <c r="C213" s="11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ht="15.75" hidden="1" customHeight="1">
      <c r="A214" s="112"/>
      <c r="B214" s="113"/>
      <c r="C214" s="11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ht="15.75" hidden="1" customHeight="1">
      <c r="A215" s="112"/>
      <c r="B215" s="113"/>
      <c r="C215" s="11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ht="15.75" hidden="1" customHeight="1">
      <c r="A216" s="112"/>
      <c r="B216" s="113"/>
      <c r="C216" s="11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ht="15.75" hidden="1" customHeight="1">
      <c r="A217" s="112"/>
      <c r="B217" s="113"/>
      <c r="C217" s="11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ht="15.75" hidden="1" customHeight="1">
      <c r="A218" s="112"/>
      <c r="B218" s="113"/>
      <c r="C218" s="11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ht="15.75" hidden="1" customHeight="1">
      <c r="A219" s="112"/>
      <c r="B219" s="113"/>
      <c r="C219" s="11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ht="15.75" hidden="1" customHeight="1">
      <c r="A220" s="112"/>
      <c r="B220" s="113"/>
      <c r="C220" s="114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ht="15.75" hidden="1" customHeight="1">
      <c r="A221" s="112"/>
      <c r="B221" s="113"/>
      <c r="C221" s="114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ht="15.75" hidden="1" customHeight="1">
      <c r="A222" s="112"/>
      <c r="B222" s="113"/>
      <c r="C222" s="114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ht="15.75" hidden="1" customHeight="1">
      <c r="A223" s="112"/>
      <c r="B223" s="113"/>
      <c r="C223" s="114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ht="15.75" hidden="1" customHeight="1">
      <c r="A224" s="112"/>
      <c r="B224" s="113"/>
      <c r="C224" s="114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ht="15.75" hidden="1" customHeight="1">
      <c r="A225" s="112"/>
      <c r="B225" s="113"/>
      <c r="C225" s="114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ht="15.75" hidden="1" customHeight="1">
      <c r="A226" s="112"/>
      <c r="B226" s="113"/>
      <c r="C226" s="114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ht="15.75" hidden="1" customHeight="1">
      <c r="A227" s="112"/>
      <c r="B227" s="113"/>
      <c r="C227" s="114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ht="15.75" hidden="1" customHeight="1">
      <c r="A228" s="112"/>
      <c r="B228" s="113"/>
      <c r="C228" s="114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ht="15.75" hidden="1" customHeight="1">
      <c r="A229" s="112"/>
      <c r="B229" s="113"/>
      <c r="C229" s="114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ht="15.75" hidden="1" customHeight="1">
      <c r="A230" s="112"/>
      <c r="B230" s="113"/>
      <c r="C230" s="114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ht="15.75" hidden="1" customHeight="1">
      <c r="A231" s="112"/>
      <c r="B231" s="113"/>
      <c r="C231" s="114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ht="15.75" hidden="1" customHeight="1">
      <c r="A232" s="112"/>
      <c r="B232" s="113"/>
      <c r="C232" s="114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ht="15.75" hidden="1" customHeight="1">
      <c r="A233" s="112"/>
      <c r="B233" s="113"/>
      <c r="C233" s="114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ht="15.75" hidden="1" customHeight="1">
      <c r="A234" s="112"/>
      <c r="B234" s="113"/>
      <c r="C234" s="114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ht="15.75" hidden="1" customHeight="1">
      <c r="A235" s="112"/>
      <c r="B235" s="113"/>
      <c r="C235" s="114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ht="15.75" hidden="1" customHeight="1">
      <c r="A236" s="112"/>
      <c r="B236" s="113"/>
      <c r="C236" s="114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ht="15.75" hidden="1" customHeight="1">
      <c r="A237" s="112"/>
      <c r="B237" s="113"/>
      <c r="C237" s="114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ht="15.75" hidden="1" customHeight="1">
      <c r="A238" s="112"/>
      <c r="B238" s="113"/>
      <c r="C238" s="114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ht="15.75" hidden="1" customHeight="1">
      <c r="A239" s="112"/>
      <c r="B239" s="113"/>
      <c r="C239" s="114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ht="15.75" hidden="1" customHeight="1">
      <c r="A240" s="112"/>
      <c r="B240" s="113"/>
      <c r="C240" s="114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ht="15.75" hidden="1" customHeight="1">
      <c r="A241" s="112"/>
      <c r="B241" s="113"/>
      <c r="C241" s="114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2:C2"/>
    <mergeCell ref="A4:C4"/>
    <mergeCell ref="B5:C5"/>
    <mergeCell ref="B20:C20"/>
    <mergeCell ref="B25:C25"/>
    <mergeCell ref="B30:C30"/>
    <mergeCell ref="B37:C3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17.88"/>
    <col customWidth="1" hidden="1" min="3" max="3" width="8.38"/>
    <col customWidth="1" min="4" max="4" width="44.25"/>
    <col customWidth="1" min="5" max="5" width="49.88"/>
    <col customWidth="1" hidden="1" min="6" max="25" width="7.63"/>
    <col customWidth="1" min="26" max="26" width="14.38"/>
  </cols>
  <sheetData>
    <row r="1" ht="11.25" customHeight="1">
      <c r="A1" s="119" t="s">
        <v>109</v>
      </c>
      <c r="B1" s="119" t="s">
        <v>110</v>
      </c>
      <c r="C1" s="120"/>
      <c r="D1" s="119" t="s">
        <v>111</v>
      </c>
      <c r="E1" s="119" t="s">
        <v>46</v>
      </c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</row>
    <row r="2" ht="11.25" customHeight="1">
      <c r="A2" s="122" t="str">
        <f>'Input Nilai'!B13</f>
        <v>LAYANAN DASAR</v>
      </c>
      <c r="B2" s="122" t="s">
        <v>112</v>
      </c>
      <c r="C2" s="123" t="s">
        <v>113</v>
      </c>
      <c r="D2" s="124" t="s">
        <v>114</v>
      </c>
      <c r="E2" s="124" t="s">
        <v>115</v>
      </c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</row>
    <row r="3" ht="11.25" customHeight="1">
      <c r="A3" s="67"/>
      <c r="B3" s="67"/>
      <c r="C3" s="67"/>
      <c r="D3" s="124" t="s">
        <v>116</v>
      </c>
      <c r="E3" s="124" t="s">
        <v>117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</row>
    <row r="4" ht="11.25" customHeight="1">
      <c r="A4" s="67"/>
      <c r="B4" s="67"/>
      <c r="C4" s="67"/>
      <c r="D4" s="124" t="s">
        <v>118</v>
      </c>
      <c r="E4" s="124" t="s">
        <v>119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</row>
    <row r="5" ht="11.25" customHeight="1">
      <c r="A5" s="67"/>
      <c r="B5" s="70"/>
      <c r="C5" s="70"/>
      <c r="D5" s="124" t="s">
        <v>120</v>
      </c>
      <c r="E5" s="124" t="s">
        <v>121</v>
      </c>
      <c r="F5" s="126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</row>
    <row r="6" ht="22.5" customHeight="1">
      <c r="A6" s="67"/>
      <c r="B6" s="122" t="s">
        <v>122</v>
      </c>
      <c r="C6" s="123" t="s">
        <v>113</v>
      </c>
      <c r="D6" s="124" t="s">
        <v>123</v>
      </c>
      <c r="E6" s="124" t="s">
        <v>124</v>
      </c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</row>
    <row r="7" ht="11.25" customHeight="1">
      <c r="A7" s="67"/>
      <c r="B7" s="67"/>
      <c r="C7" s="67"/>
      <c r="D7" s="124" t="s">
        <v>125</v>
      </c>
      <c r="E7" s="124" t="s">
        <v>126</v>
      </c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</row>
    <row r="8" ht="11.25" customHeight="1">
      <c r="A8" s="67"/>
      <c r="B8" s="67"/>
      <c r="C8" s="67"/>
      <c r="D8" s="124" t="s">
        <v>127</v>
      </c>
      <c r="E8" s="124" t="s">
        <v>128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</row>
    <row r="9" ht="11.25" customHeight="1">
      <c r="A9" s="67"/>
      <c r="B9" s="70"/>
      <c r="C9" s="70"/>
      <c r="D9" s="124" t="s">
        <v>129</v>
      </c>
      <c r="E9" s="124" t="s">
        <v>130</v>
      </c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</row>
    <row r="10" ht="11.25" customHeight="1">
      <c r="A10" s="67"/>
      <c r="B10" s="122" t="s">
        <v>131</v>
      </c>
      <c r="C10" s="123" t="s">
        <v>132</v>
      </c>
      <c r="D10" s="124" t="s">
        <v>133</v>
      </c>
      <c r="E10" s="124" t="s">
        <v>134</v>
      </c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</row>
    <row r="11" ht="11.25" customHeight="1">
      <c r="A11" s="67"/>
      <c r="B11" s="67"/>
      <c r="C11" s="67"/>
      <c r="D11" s="124" t="s">
        <v>135</v>
      </c>
      <c r="E11" s="124" t="s">
        <v>136</v>
      </c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</row>
    <row r="12" ht="11.25" customHeight="1">
      <c r="A12" s="67"/>
      <c r="B12" s="67"/>
      <c r="C12" s="67"/>
      <c r="D12" s="124" t="s">
        <v>137</v>
      </c>
      <c r="E12" s="124" t="s">
        <v>138</v>
      </c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</row>
    <row r="13" ht="11.25" customHeight="1">
      <c r="A13" s="67"/>
      <c r="B13" s="70"/>
      <c r="C13" s="70"/>
      <c r="D13" s="124" t="s">
        <v>139</v>
      </c>
      <c r="E13" s="124" t="s">
        <v>140</v>
      </c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</row>
    <row r="14" ht="11.25" customHeight="1">
      <c r="A14" s="67"/>
      <c r="B14" s="122" t="s">
        <v>141</v>
      </c>
      <c r="C14" s="123" t="s">
        <v>132</v>
      </c>
      <c r="D14" s="124" t="s">
        <v>142</v>
      </c>
      <c r="E14" s="124" t="s">
        <v>143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</row>
    <row r="15" ht="11.25" customHeight="1">
      <c r="A15" s="67"/>
      <c r="B15" s="67"/>
      <c r="C15" s="67"/>
      <c r="D15" s="124" t="s">
        <v>144</v>
      </c>
      <c r="E15" s="124" t="s">
        <v>145</v>
      </c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</row>
    <row r="16" ht="11.25" customHeight="1">
      <c r="A16" s="67"/>
      <c r="B16" s="67"/>
      <c r="C16" s="67"/>
      <c r="D16" s="124" t="s">
        <v>146</v>
      </c>
      <c r="E16" s="124" t="s">
        <v>147</v>
      </c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</row>
    <row r="17" ht="11.25" customHeight="1">
      <c r="A17" s="67"/>
      <c r="B17" s="70"/>
      <c r="C17" s="70"/>
      <c r="D17" s="124" t="s">
        <v>148</v>
      </c>
      <c r="E17" s="124" t="s">
        <v>149</v>
      </c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</row>
    <row r="18" ht="11.25" customHeight="1">
      <c r="A18" s="67"/>
      <c r="B18" s="122" t="s">
        <v>150</v>
      </c>
      <c r="C18" s="123" t="s">
        <v>151</v>
      </c>
      <c r="D18" s="124" t="s">
        <v>152</v>
      </c>
      <c r="E18" s="124" t="s">
        <v>153</v>
      </c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</row>
    <row r="19" ht="11.25" customHeight="1">
      <c r="A19" s="67"/>
      <c r="B19" s="67"/>
      <c r="C19" s="67"/>
      <c r="D19" s="124" t="s">
        <v>154</v>
      </c>
      <c r="E19" s="124" t="s">
        <v>155</v>
      </c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</row>
    <row r="20" ht="11.25" customHeight="1">
      <c r="A20" s="67"/>
      <c r="B20" s="67"/>
      <c r="C20" s="67"/>
      <c r="D20" s="124" t="s">
        <v>156</v>
      </c>
      <c r="E20" s="124" t="s">
        <v>157</v>
      </c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</row>
    <row r="21" ht="11.25" customHeight="1">
      <c r="A21" s="67"/>
      <c r="B21" s="70"/>
      <c r="C21" s="70"/>
      <c r="D21" s="124" t="s">
        <v>158</v>
      </c>
      <c r="E21" s="124" t="s">
        <v>159</v>
      </c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</row>
    <row r="22" ht="11.25" customHeight="1">
      <c r="A22" s="67"/>
      <c r="B22" s="122" t="s">
        <v>160</v>
      </c>
      <c r="C22" s="123" t="s">
        <v>151</v>
      </c>
      <c r="D22" s="124" t="s">
        <v>161</v>
      </c>
      <c r="E22" s="124" t="s">
        <v>162</v>
      </c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</row>
    <row r="23" ht="11.25" customHeight="1">
      <c r="A23" s="67"/>
      <c r="B23" s="67"/>
      <c r="C23" s="67"/>
      <c r="D23" s="124" t="s">
        <v>163</v>
      </c>
      <c r="E23" s="124" t="s">
        <v>164</v>
      </c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</row>
    <row r="24" ht="11.25" customHeight="1">
      <c r="A24" s="67"/>
      <c r="B24" s="67"/>
      <c r="C24" s="67"/>
      <c r="D24" s="124" t="s">
        <v>165</v>
      </c>
      <c r="E24" s="124" t="s">
        <v>166</v>
      </c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</row>
    <row r="25" ht="11.25" customHeight="1">
      <c r="A25" s="67"/>
      <c r="B25" s="70"/>
      <c r="C25" s="70"/>
      <c r="D25" s="124" t="s">
        <v>167</v>
      </c>
      <c r="E25" s="124" t="s">
        <v>168</v>
      </c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</row>
    <row r="26" ht="11.25" customHeight="1">
      <c r="A26" s="67"/>
      <c r="B26" s="122" t="s">
        <v>169</v>
      </c>
      <c r="C26" s="123" t="s">
        <v>170</v>
      </c>
      <c r="D26" s="124" t="s">
        <v>171</v>
      </c>
      <c r="E26" s="124" t="s">
        <v>172</v>
      </c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</row>
    <row r="27" ht="11.25" customHeight="1">
      <c r="A27" s="67"/>
      <c r="B27" s="67"/>
      <c r="C27" s="67"/>
      <c r="D27" s="124" t="s">
        <v>173</v>
      </c>
      <c r="E27" s="124" t="s">
        <v>174</v>
      </c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</row>
    <row r="28" ht="11.25" customHeight="1">
      <c r="A28" s="67"/>
      <c r="B28" s="67"/>
      <c r="C28" s="67"/>
      <c r="D28" s="124" t="s">
        <v>175</v>
      </c>
      <c r="E28" s="124" t="s">
        <v>176</v>
      </c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</row>
    <row r="29" ht="11.25" customHeight="1">
      <c r="A29" s="67"/>
      <c r="B29" s="70"/>
      <c r="C29" s="70"/>
      <c r="D29" s="124" t="s">
        <v>177</v>
      </c>
      <c r="E29" s="124" t="s">
        <v>178</v>
      </c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</row>
    <row r="30" ht="11.25" customHeight="1">
      <c r="A30" s="67"/>
      <c r="B30" s="122" t="s">
        <v>179</v>
      </c>
      <c r="C30" s="123" t="s">
        <v>170</v>
      </c>
      <c r="D30" s="124" t="s">
        <v>180</v>
      </c>
      <c r="E30" s="124" t="s">
        <v>181</v>
      </c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</row>
    <row r="31" ht="11.25" customHeight="1">
      <c r="A31" s="67"/>
      <c r="B31" s="67"/>
      <c r="C31" s="67"/>
      <c r="D31" s="124" t="s">
        <v>182</v>
      </c>
      <c r="E31" s="124" t="s">
        <v>183</v>
      </c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</row>
    <row r="32" ht="11.25" customHeight="1">
      <c r="A32" s="67"/>
      <c r="B32" s="67"/>
      <c r="C32" s="67"/>
      <c r="D32" s="124" t="s">
        <v>184</v>
      </c>
      <c r="E32" s="124" t="s">
        <v>185</v>
      </c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</row>
    <row r="33" ht="11.25" customHeight="1">
      <c r="A33" s="67"/>
      <c r="B33" s="70"/>
      <c r="C33" s="70"/>
      <c r="D33" s="124" t="s">
        <v>186</v>
      </c>
      <c r="E33" s="124" t="s">
        <v>187</v>
      </c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</row>
    <row r="34" ht="33.75" customHeight="1">
      <c r="A34" s="67"/>
      <c r="B34" s="122" t="s">
        <v>188</v>
      </c>
      <c r="C34" s="128" t="s">
        <v>189</v>
      </c>
      <c r="D34" s="124" t="s">
        <v>190</v>
      </c>
      <c r="E34" s="129" t="s">
        <v>191</v>
      </c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</row>
    <row r="35" ht="11.25" customHeight="1">
      <c r="A35" s="67"/>
      <c r="B35" s="67"/>
      <c r="C35" s="67"/>
      <c r="D35" s="124" t="s">
        <v>192</v>
      </c>
      <c r="E35" s="129" t="s">
        <v>193</v>
      </c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</row>
    <row r="36" ht="11.25" customHeight="1">
      <c r="A36" s="67"/>
      <c r="B36" s="67"/>
      <c r="C36" s="67"/>
      <c r="D36" s="124" t="s">
        <v>194</v>
      </c>
      <c r="E36" s="129" t="s">
        <v>195</v>
      </c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</row>
    <row r="37" ht="11.25" customHeight="1">
      <c r="A37" s="67"/>
      <c r="B37" s="70"/>
      <c r="C37" s="70"/>
      <c r="D37" s="124" t="s">
        <v>196</v>
      </c>
      <c r="E37" s="124" t="s">
        <v>197</v>
      </c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ht="11.25" customHeight="1">
      <c r="A38" s="67"/>
      <c r="B38" s="122" t="s">
        <v>198</v>
      </c>
      <c r="C38" s="128" t="s">
        <v>189</v>
      </c>
      <c r="D38" s="124" t="s">
        <v>199</v>
      </c>
      <c r="E38" s="129" t="s">
        <v>200</v>
      </c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</row>
    <row r="39" ht="11.25" customHeight="1">
      <c r="A39" s="67"/>
      <c r="B39" s="67"/>
      <c r="C39" s="67"/>
      <c r="D39" s="124" t="s">
        <v>201</v>
      </c>
      <c r="E39" s="129" t="s">
        <v>202</v>
      </c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</row>
    <row r="40" ht="11.25" customHeight="1">
      <c r="A40" s="67"/>
      <c r="B40" s="67"/>
      <c r="C40" s="67"/>
      <c r="D40" s="124" t="s">
        <v>203</v>
      </c>
      <c r="E40" s="129" t="s">
        <v>204</v>
      </c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</row>
    <row r="41" ht="11.25" customHeight="1">
      <c r="A41" s="67"/>
      <c r="B41" s="70"/>
      <c r="C41" s="70"/>
      <c r="D41" s="124" t="s">
        <v>205</v>
      </c>
      <c r="E41" s="124" t="s">
        <v>206</v>
      </c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</row>
    <row r="42" ht="11.25" customHeight="1">
      <c r="A42" s="67"/>
      <c r="B42" s="122" t="s">
        <v>207</v>
      </c>
      <c r="C42" s="128" t="s">
        <v>208</v>
      </c>
      <c r="D42" s="124" t="s">
        <v>209</v>
      </c>
      <c r="E42" s="124" t="s">
        <v>210</v>
      </c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</row>
    <row r="43" ht="11.25" customHeight="1">
      <c r="A43" s="67"/>
      <c r="B43" s="67"/>
      <c r="C43" s="67"/>
      <c r="D43" s="124" t="s">
        <v>211</v>
      </c>
      <c r="E43" s="124" t="s">
        <v>212</v>
      </c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</row>
    <row r="44" ht="11.25" customHeight="1">
      <c r="A44" s="67"/>
      <c r="B44" s="67"/>
      <c r="C44" s="67"/>
      <c r="D44" s="124" t="s">
        <v>213</v>
      </c>
      <c r="E44" s="124" t="s">
        <v>214</v>
      </c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</row>
    <row r="45" ht="11.25" customHeight="1">
      <c r="A45" s="67"/>
      <c r="B45" s="70"/>
      <c r="C45" s="70"/>
      <c r="D45" s="124" t="s">
        <v>215</v>
      </c>
      <c r="E45" s="124" t="s">
        <v>216</v>
      </c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</row>
    <row r="46" ht="11.25" customHeight="1">
      <c r="A46" s="67"/>
      <c r="B46" s="122" t="s">
        <v>217</v>
      </c>
      <c r="C46" s="128" t="s">
        <v>208</v>
      </c>
      <c r="D46" s="124" t="s">
        <v>218</v>
      </c>
      <c r="E46" s="124" t="s">
        <v>219</v>
      </c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</row>
    <row r="47" ht="11.25" customHeight="1">
      <c r="A47" s="67"/>
      <c r="B47" s="67"/>
      <c r="C47" s="67"/>
      <c r="D47" s="124" t="s">
        <v>220</v>
      </c>
      <c r="E47" s="124" t="s">
        <v>221</v>
      </c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</row>
    <row r="48" ht="11.25" customHeight="1">
      <c r="A48" s="67"/>
      <c r="B48" s="67"/>
      <c r="C48" s="67"/>
      <c r="D48" s="124" t="s">
        <v>222</v>
      </c>
      <c r="E48" s="124" t="s">
        <v>223</v>
      </c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</row>
    <row r="49" ht="11.25" customHeight="1">
      <c r="A49" s="67"/>
      <c r="B49" s="70"/>
      <c r="C49" s="70"/>
      <c r="D49" s="124" t="s">
        <v>224</v>
      </c>
      <c r="E49" s="124" t="s">
        <v>225</v>
      </c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</row>
    <row r="50" ht="23.25" customHeight="1">
      <c r="A50" s="67"/>
      <c r="B50" s="122" t="s">
        <v>226</v>
      </c>
      <c r="C50" s="131" t="s">
        <v>227</v>
      </c>
      <c r="D50" s="124" t="s">
        <v>228</v>
      </c>
      <c r="E50" s="124" t="s">
        <v>229</v>
      </c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</row>
    <row r="51" ht="11.25" customHeight="1">
      <c r="A51" s="67"/>
      <c r="B51" s="67"/>
      <c r="C51" s="67"/>
      <c r="D51" s="124" t="s">
        <v>230</v>
      </c>
      <c r="E51" s="124" t="s">
        <v>231</v>
      </c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</row>
    <row r="52" ht="11.25" customHeight="1">
      <c r="A52" s="67"/>
      <c r="B52" s="67"/>
      <c r="C52" s="67"/>
      <c r="D52" s="124" t="s">
        <v>232</v>
      </c>
      <c r="E52" s="124" t="s">
        <v>233</v>
      </c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</row>
    <row r="53" ht="11.25" customHeight="1">
      <c r="A53" s="67"/>
      <c r="B53" s="70"/>
      <c r="C53" s="70"/>
      <c r="D53" s="124" t="s">
        <v>234</v>
      </c>
      <c r="E53" s="124" t="s">
        <v>235</v>
      </c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</row>
    <row r="54" ht="11.25" customHeight="1">
      <c r="A54" s="67"/>
      <c r="B54" s="122" t="s">
        <v>236</v>
      </c>
      <c r="C54" s="131" t="s">
        <v>227</v>
      </c>
      <c r="D54" s="124" t="s">
        <v>237</v>
      </c>
      <c r="E54" s="124" t="s">
        <v>238</v>
      </c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</row>
    <row r="55" ht="11.25" customHeight="1">
      <c r="A55" s="67"/>
      <c r="B55" s="67"/>
      <c r="C55" s="67"/>
      <c r="D55" s="124" t="str">
        <f>IFERROR(__xludf.DUMMYFUNCTION("importrange(""1WzqiOBj7hUoKVW-V5Vm0RGDSIp0F0Kal5LH9z-DzSnE"", ""Sheet15!d29:d29"")"),"#REF!")</f>
        <v>#REF!</v>
      </c>
      <c r="E55" s="124" t="s">
        <v>239</v>
      </c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</row>
    <row r="56" ht="11.25" customHeight="1">
      <c r="A56" s="67"/>
      <c r="B56" s="67"/>
      <c r="C56" s="67"/>
      <c r="D56" s="124" t="str">
        <f>IFERROR(__xludf.DUMMYFUNCTION("importrange(""1WzqiOBj7hUoKVW-V5Vm0RGDSIp0F0Kal5LH9z-DzSnE"", ""Sheet15!e29:e29"")"),"#REF!")</f>
        <v>#REF!</v>
      </c>
      <c r="E56" s="124" t="s">
        <v>240</v>
      </c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</row>
    <row r="57" ht="11.25" customHeight="1">
      <c r="A57" s="70"/>
      <c r="B57" s="70"/>
      <c r="C57" s="70"/>
      <c r="D57" s="124" t="str">
        <f>IFERROR(__xludf.DUMMYFUNCTION("importrange(""1WzqiOBj7hUoKVW-V5Vm0RGDSIp0F0Kal5LH9z-DzSnE"", ""Sheet15!f29:f29"")"),"#REF!")</f>
        <v>#REF!</v>
      </c>
      <c r="E57" s="124" t="s">
        <v>241</v>
      </c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</row>
    <row r="58" ht="45.0" customHeight="1">
      <c r="A58" s="122" t="str">
        <f>'Input Nilai'!B69</f>
        <v>PERATURAN DAN KEBIJAKAN PENANGGULANGAN BENCANA</v>
      </c>
      <c r="B58" s="122" t="s">
        <v>242</v>
      </c>
      <c r="C58" s="123" t="s">
        <v>243</v>
      </c>
      <c r="D58" s="124" t="s">
        <v>244</v>
      </c>
      <c r="E58" s="124" t="s">
        <v>245</v>
      </c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</row>
    <row r="59" ht="11.25" customHeight="1">
      <c r="A59" s="67"/>
      <c r="B59" s="67"/>
      <c r="C59" s="67"/>
      <c r="D59" s="124" t="str">
        <f>IFERROR(__xludf.DUMMYFUNCTION("importrange(""1WzqiOBj7hUoKVW-V5Vm0RGDSIp0F0Kal5LH9z-DzSnE"", ""Sheet15!d33:d33"")"),"#REF!")</f>
        <v>#REF!</v>
      </c>
      <c r="E59" s="124" t="s">
        <v>246</v>
      </c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</row>
    <row r="60" ht="11.25" customHeight="1">
      <c r="A60" s="67"/>
      <c r="B60" s="67"/>
      <c r="C60" s="67"/>
      <c r="D60" s="124" t="s">
        <v>247</v>
      </c>
      <c r="E60" s="124" t="s">
        <v>248</v>
      </c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</row>
    <row r="61" ht="11.25" customHeight="1">
      <c r="A61" s="67"/>
      <c r="B61" s="70"/>
      <c r="C61" s="70"/>
      <c r="D61" s="124" t="s">
        <v>249</v>
      </c>
      <c r="E61" s="124" t="s">
        <v>250</v>
      </c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</row>
    <row r="62" ht="11.25" customHeight="1">
      <c r="A62" s="67"/>
      <c r="B62" s="132" t="s">
        <v>251</v>
      </c>
      <c r="C62" s="123" t="s">
        <v>252</v>
      </c>
      <c r="D62" s="124" t="s">
        <v>253</v>
      </c>
      <c r="E62" s="124" t="s">
        <v>254</v>
      </c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</row>
    <row r="63" ht="11.25" customHeight="1">
      <c r="A63" s="67"/>
      <c r="B63" s="67"/>
      <c r="C63" s="67"/>
      <c r="D63" s="124" t="str">
        <f>IFERROR(__xludf.DUMMYFUNCTION("importrange(""1WzqiOBj7hUoKVW-V5Vm0RGDSIp0F0Kal5LH9z-DzSnE"", ""Sheet15!d35:d35"")"),"#REF!")</f>
        <v>#REF!</v>
      </c>
      <c r="E63" s="124" t="s">
        <v>255</v>
      </c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</row>
    <row r="64" ht="11.25" customHeight="1">
      <c r="A64" s="67"/>
      <c r="B64" s="67"/>
      <c r="C64" s="67"/>
      <c r="D64" s="124" t="s">
        <v>256</v>
      </c>
      <c r="E64" s="124" t="s">
        <v>257</v>
      </c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</row>
    <row r="65" ht="11.25" customHeight="1">
      <c r="A65" s="67"/>
      <c r="B65" s="70"/>
      <c r="C65" s="70"/>
      <c r="D65" s="124" t="s">
        <v>258</v>
      </c>
      <c r="E65" s="124" t="s">
        <v>259</v>
      </c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</row>
    <row r="66" ht="11.25" customHeight="1">
      <c r="A66" s="67"/>
      <c r="B66" s="132" t="s">
        <v>260</v>
      </c>
      <c r="C66" s="123" t="s">
        <v>261</v>
      </c>
      <c r="D66" s="124" t="s">
        <v>262</v>
      </c>
      <c r="E66" s="124" t="s">
        <v>263</v>
      </c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</row>
    <row r="67" ht="11.25" customHeight="1">
      <c r="A67" s="67"/>
      <c r="B67" s="67"/>
      <c r="C67" s="67"/>
      <c r="D67" s="124" t="s">
        <v>264</v>
      </c>
      <c r="E67" s="124" t="s">
        <v>265</v>
      </c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</row>
    <row r="68" ht="11.25" customHeight="1">
      <c r="A68" s="67"/>
      <c r="B68" s="67"/>
      <c r="C68" s="67"/>
      <c r="D68" s="124" t="s">
        <v>266</v>
      </c>
      <c r="E68" s="124" t="s">
        <v>267</v>
      </c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</row>
    <row r="69" ht="11.25" customHeight="1">
      <c r="A69" s="67"/>
      <c r="B69" s="70"/>
      <c r="C69" s="70"/>
      <c r="D69" s="124" t="s">
        <v>268</v>
      </c>
      <c r="E69" s="124" t="s">
        <v>269</v>
      </c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</row>
    <row r="70" ht="33.75" customHeight="1">
      <c r="A70" s="67"/>
      <c r="B70" s="132" t="s">
        <v>270</v>
      </c>
      <c r="C70" s="133" t="s">
        <v>271</v>
      </c>
      <c r="D70" s="124" t="s">
        <v>272</v>
      </c>
      <c r="E70" s="124" t="s">
        <v>273</v>
      </c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</row>
    <row r="71" ht="11.25" customHeight="1">
      <c r="A71" s="67"/>
      <c r="B71" s="67"/>
      <c r="C71" s="67"/>
      <c r="D71" s="124" t="s">
        <v>274</v>
      </c>
      <c r="E71" s="124" t="s">
        <v>275</v>
      </c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</row>
    <row r="72" ht="11.25" customHeight="1">
      <c r="A72" s="67"/>
      <c r="B72" s="67"/>
      <c r="C72" s="67"/>
      <c r="D72" s="124" t="s">
        <v>276</v>
      </c>
      <c r="E72" s="124" t="s">
        <v>277</v>
      </c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</row>
    <row r="73" ht="11.25" customHeight="1">
      <c r="A73" s="67"/>
      <c r="B73" s="70"/>
      <c r="C73" s="70"/>
      <c r="D73" s="124" t="s">
        <v>278</v>
      </c>
      <c r="E73" s="124" t="s">
        <v>279</v>
      </c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</row>
    <row r="74" ht="45.0" customHeight="1">
      <c r="A74" s="67"/>
      <c r="B74" s="132" t="s">
        <v>280</v>
      </c>
      <c r="C74" s="133" t="s">
        <v>271</v>
      </c>
      <c r="D74" s="124" t="s">
        <v>281</v>
      </c>
      <c r="E74" s="124" t="s">
        <v>282</v>
      </c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</row>
    <row r="75" ht="11.25" customHeight="1">
      <c r="A75" s="67"/>
      <c r="B75" s="67"/>
      <c r="C75" s="67"/>
      <c r="D75" s="124" t="s">
        <v>283</v>
      </c>
      <c r="E75" s="124" t="s">
        <v>284</v>
      </c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</row>
    <row r="76" ht="11.25" customHeight="1">
      <c r="A76" s="67"/>
      <c r="B76" s="67"/>
      <c r="C76" s="67"/>
      <c r="D76" s="124" t="s">
        <v>285</v>
      </c>
      <c r="E76" s="124" t="s">
        <v>286</v>
      </c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</row>
    <row r="77" ht="11.25" customHeight="1">
      <c r="A77" s="67"/>
      <c r="B77" s="70"/>
      <c r="C77" s="70"/>
      <c r="D77" s="124" t="s">
        <v>287</v>
      </c>
      <c r="E77" s="124" t="s">
        <v>279</v>
      </c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</row>
    <row r="78" ht="22.5" customHeight="1">
      <c r="A78" s="67"/>
      <c r="B78" s="132" t="s">
        <v>288</v>
      </c>
      <c r="C78" s="134"/>
      <c r="D78" s="124" t="s">
        <v>289</v>
      </c>
      <c r="E78" s="124" t="s">
        <v>290</v>
      </c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</row>
    <row r="79" ht="11.25" customHeight="1">
      <c r="A79" s="67"/>
      <c r="B79" s="67"/>
      <c r="C79" s="67"/>
      <c r="D79" s="124" t="s">
        <v>291</v>
      </c>
      <c r="E79" s="124" t="s">
        <v>292</v>
      </c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</row>
    <row r="80" ht="11.25" customHeight="1">
      <c r="A80" s="67"/>
      <c r="B80" s="67"/>
      <c r="C80" s="67"/>
      <c r="D80" s="124" t="s">
        <v>293</v>
      </c>
      <c r="E80" s="124" t="s">
        <v>294</v>
      </c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</row>
    <row r="81" ht="11.25" customHeight="1">
      <c r="A81" s="67"/>
      <c r="B81" s="70"/>
      <c r="C81" s="70"/>
      <c r="D81" s="124" t="s">
        <v>295</v>
      </c>
      <c r="E81" s="124" t="s">
        <v>296</v>
      </c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</row>
    <row r="82" ht="22.5" customHeight="1">
      <c r="A82" s="67"/>
      <c r="B82" s="132" t="s">
        <v>297</v>
      </c>
      <c r="C82" s="134"/>
      <c r="D82" s="124" t="s">
        <v>298</v>
      </c>
      <c r="E82" s="124" t="s">
        <v>299</v>
      </c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</row>
    <row r="83" ht="11.25" customHeight="1">
      <c r="A83" s="67"/>
      <c r="B83" s="67"/>
      <c r="C83" s="67"/>
      <c r="D83" s="124" t="s">
        <v>300</v>
      </c>
      <c r="E83" s="124" t="s">
        <v>301</v>
      </c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</row>
    <row r="84" ht="11.25" customHeight="1">
      <c r="A84" s="67"/>
      <c r="B84" s="67"/>
      <c r="C84" s="67"/>
      <c r="D84" s="124" t="s">
        <v>302</v>
      </c>
      <c r="E84" s="124" t="s">
        <v>303</v>
      </c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</row>
    <row r="85" ht="11.25" customHeight="1">
      <c r="A85" s="67"/>
      <c r="B85" s="70"/>
      <c r="C85" s="70"/>
      <c r="D85" s="124" t="s">
        <v>304</v>
      </c>
      <c r="E85" s="124" t="s">
        <v>305</v>
      </c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</row>
    <row r="86" ht="11.25" customHeight="1">
      <c r="A86" s="67"/>
      <c r="B86" s="132" t="s">
        <v>306</v>
      </c>
      <c r="C86" s="134"/>
      <c r="D86" s="124" t="s">
        <v>307</v>
      </c>
      <c r="E86" s="124" t="s">
        <v>308</v>
      </c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</row>
    <row r="87" ht="11.25" customHeight="1">
      <c r="A87" s="67"/>
      <c r="B87" s="67"/>
      <c r="C87" s="67"/>
      <c r="D87" s="124" t="s">
        <v>309</v>
      </c>
      <c r="E87" s="124" t="s">
        <v>310</v>
      </c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</row>
    <row r="88" ht="11.25" customHeight="1">
      <c r="A88" s="67"/>
      <c r="B88" s="67"/>
      <c r="C88" s="67"/>
      <c r="D88" s="124" t="s">
        <v>311</v>
      </c>
      <c r="E88" s="124" t="s">
        <v>312</v>
      </c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</row>
    <row r="89" ht="11.25" customHeight="1">
      <c r="A89" s="70"/>
      <c r="B89" s="70"/>
      <c r="C89" s="70"/>
      <c r="D89" s="124" t="s">
        <v>313</v>
      </c>
      <c r="E89" s="124" t="s">
        <v>314</v>
      </c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</row>
    <row r="90" ht="11.25" customHeight="1">
      <c r="A90" s="122" t="str">
        <f>'Input Nilai'!B101</f>
        <v>KESIAPSIAGAAN DARURAT</v>
      </c>
      <c r="B90" s="132" t="s">
        <v>315</v>
      </c>
      <c r="C90" s="123" t="s">
        <v>227</v>
      </c>
      <c r="D90" s="124" t="s">
        <v>316</v>
      </c>
      <c r="E90" s="124" t="s">
        <v>317</v>
      </c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</row>
    <row r="91" ht="11.25" customHeight="1">
      <c r="A91" s="67"/>
      <c r="B91" s="67"/>
      <c r="C91" s="67"/>
      <c r="D91" s="124" t="s">
        <v>318</v>
      </c>
      <c r="E91" s="124" t="s">
        <v>319</v>
      </c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</row>
    <row r="92" ht="11.25" customHeight="1">
      <c r="A92" s="67"/>
      <c r="B92" s="67"/>
      <c r="C92" s="67"/>
      <c r="D92" s="124" t="s">
        <v>320</v>
      </c>
      <c r="E92" s="124" t="s">
        <v>321</v>
      </c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</row>
    <row r="93" ht="11.25" customHeight="1">
      <c r="A93" s="67"/>
      <c r="B93" s="70"/>
      <c r="C93" s="70"/>
      <c r="D93" s="124" t="s">
        <v>322</v>
      </c>
      <c r="E93" s="124" t="s">
        <v>323</v>
      </c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</row>
    <row r="94" ht="33.75" customHeight="1">
      <c r="A94" s="67"/>
      <c r="B94" s="132" t="s">
        <v>324</v>
      </c>
      <c r="C94" s="123" t="s">
        <v>227</v>
      </c>
      <c r="D94" s="124" t="s">
        <v>325</v>
      </c>
      <c r="E94" s="124" t="s">
        <v>326</v>
      </c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</row>
    <row r="95" ht="11.25" customHeight="1">
      <c r="A95" s="67"/>
      <c r="B95" s="67"/>
      <c r="C95" s="67"/>
      <c r="D95" s="124" t="s">
        <v>327</v>
      </c>
      <c r="E95" s="124" t="s">
        <v>328</v>
      </c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</row>
    <row r="96" ht="11.25" customHeight="1">
      <c r="A96" s="67"/>
      <c r="B96" s="67"/>
      <c r="C96" s="67"/>
      <c r="D96" s="124" t="s">
        <v>329</v>
      </c>
      <c r="E96" s="124" t="s">
        <v>330</v>
      </c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</row>
    <row r="97" ht="11.25" customHeight="1">
      <c r="A97" s="67"/>
      <c r="B97" s="70"/>
      <c r="C97" s="70"/>
      <c r="D97" s="124" t="s">
        <v>331</v>
      </c>
      <c r="E97" s="124" t="s">
        <v>332</v>
      </c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</row>
    <row r="98" ht="11.25" customHeight="1">
      <c r="A98" s="67"/>
      <c r="B98" s="132" t="s">
        <v>333</v>
      </c>
      <c r="C98" s="123" t="s">
        <v>261</v>
      </c>
      <c r="D98" s="124" t="s">
        <v>334</v>
      </c>
      <c r="E98" s="124" t="s">
        <v>335</v>
      </c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</row>
    <row r="99" ht="11.25" customHeight="1">
      <c r="A99" s="67"/>
      <c r="B99" s="67"/>
      <c r="C99" s="67"/>
      <c r="D99" s="124" t="s">
        <v>336</v>
      </c>
      <c r="E99" s="124" t="s">
        <v>337</v>
      </c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</row>
    <row r="100" ht="11.25" customHeight="1">
      <c r="A100" s="67"/>
      <c r="B100" s="67"/>
      <c r="C100" s="67"/>
      <c r="D100" s="124" t="s">
        <v>338</v>
      </c>
      <c r="E100" s="124" t="s">
        <v>339</v>
      </c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</row>
    <row r="101" ht="11.25" customHeight="1">
      <c r="A101" s="67"/>
      <c r="B101" s="70"/>
      <c r="C101" s="70"/>
      <c r="D101" s="124" t="s">
        <v>340</v>
      </c>
      <c r="E101" s="124" t="s">
        <v>341</v>
      </c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</row>
    <row r="102" ht="11.25" customHeight="1">
      <c r="A102" s="67"/>
      <c r="B102" s="132" t="s">
        <v>342</v>
      </c>
      <c r="C102" s="123" t="s">
        <v>208</v>
      </c>
      <c r="D102" s="124" t="s">
        <v>343</v>
      </c>
      <c r="E102" s="124" t="s">
        <v>344</v>
      </c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</row>
    <row r="103" ht="11.25" customHeight="1">
      <c r="A103" s="67"/>
      <c r="B103" s="67"/>
      <c r="C103" s="67"/>
      <c r="D103" s="124" t="s">
        <v>345</v>
      </c>
      <c r="E103" s="124" t="s">
        <v>346</v>
      </c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</row>
    <row r="104" ht="11.25" customHeight="1">
      <c r="A104" s="67"/>
      <c r="B104" s="67"/>
      <c r="C104" s="67"/>
      <c r="D104" s="124" t="s">
        <v>347</v>
      </c>
      <c r="E104" s="124" t="s">
        <v>348</v>
      </c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</row>
    <row r="105" ht="11.25" customHeight="1">
      <c r="A105" s="67"/>
      <c r="B105" s="70"/>
      <c r="C105" s="70"/>
      <c r="D105" s="124" t="s">
        <v>349</v>
      </c>
      <c r="E105" s="124" t="s">
        <v>350</v>
      </c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</row>
    <row r="106" ht="11.25" customHeight="1">
      <c r="A106" s="67"/>
      <c r="B106" s="132" t="s">
        <v>351</v>
      </c>
      <c r="C106" s="123" t="s">
        <v>189</v>
      </c>
      <c r="D106" s="124" t="s">
        <v>352</v>
      </c>
      <c r="E106" s="129" t="s">
        <v>353</v>
      </c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</row>
    <row r="107" ht="11.25" customHeight="1">
      <c r="A107" s="67"/>
      <c r="B107" s="67"/>
      <c r="C107" s="67"/>
      <c r="D107" s="124" t="s">
        <v>354</v>
      </c>
      <c r="E107" s="129" t="s">
        <v>355</v>
      </c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</row>
    <row r="108" ht="11.25" customHeight="1">
      <c r="A108" s="67"/>
      <c r="B108" s="67"/>
      <c r="C108" s="67"/>
      <c r="D108" s="124" t="s">
        <v>356</v>
      </c>
      <c r="E108" s="129" t="s">
        <v>357</v>
      </c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</row>
    <row r="109" ht="11.25" customHeight="1">
      <c r="A109" s="67"/>
      <c r="B109" s="70"/>
      <c r="C109" s="70"/>
      <c r="D109" s="124" t="s">
        <v>358</v>
      </c>
      <c r="E109" s="129" t="s">
        <v>359</v>
      </c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</row>
    <row r="110" ht="11.25" customHeight="1">
      <c r="A110" s="67"/>
      <c r="B110" s="122" t="s">
        <v>360</v>
      </c>
      <c r="C110" s="123" t="s">
        <v>243</v>
      </c>
      <c r="D110" s="124" t="s">
        <v>361</v>
      </c>
      <c r="E110" s="124" t="s">
        <v>362</v>
      </c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</row>
    <row r="111" ht="11.25" customHeight="1">
      <c r="A111" s="67"/>
      <c r="B111" s="67"/>
      <c r="C111" s="67"/>
      <c r="D111" s="124" t="s">
        <v>363</v>
      </c>
      <c r="E111" s="124" t="s">
        <v>364</v>
      </c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</row>
    <row r="112" ht="11.25" customHeight="1">
      <c r="A112" s="67"/>
      <c r="B112" s="67"/>
      <c r="C112" s="67"/>
      <c r="D112" s="124" t="s">
        <v>365</v>
      </c>
      <c r="E112" s="124" t="s">
        <v>366</v>
      </c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</row>
    <row r="113" ht="11.25" customHeight="1">
      <c r="A113" s="70"/>
      <c r="B113" s="70"/>
      <c r="C113" s="70"/>
      <c r="D113" s="124" t="s">
        <v>367</v>
      </c>
      <c r="E113" s="124" t="s">
        <v>368</v>
      </c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</row>
    <row r="114" ht="11.25" customHeight="1">
      <c r="A114" s="122" t="str">
        <f>'Input Nilai'!B125</f>
        <v>KESIAPSIAGAAN PEMULIHAN</v>
      </c>
      <c r="B114" s="122" t="s">
        <v>369</v>
      </c>
      <c r="C114" s="138"/>
      <c r="D114" s="124" t="s">
        <v>370</v>
      </c>
      <c r="E114" s="124" t="s">
        <v>371</v>
      </c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</row>
    <row r="115" ht="11.25" customHeight="1">
      <c r="A115" s="67"/>
      <c r="B115" s="67"/>
      <c r="C115" s="138"/>
      <c r="D115" s="124" t="s">
        <v>372</v>
      </c>
      <c r="E115" s="124" t="s">
        <v>373</v>
      </c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</row>
    <row r="116" ht="11.25" customHeight="1">
      <c r="A116" s="67"/>
      <c r="B116" s="67"/>
      <c r="C116" s="138"/>
      <c r="D116" s="124" t="s">
        <v>374</v>
      </c>
      <c r="E116" s="124" t="s">
        <v>375</v>
      </c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</row>
    <row r="117" ht="11.25" customHeight="1">
      <c r="A117" s="67"/>
      <c r="B117" s="70"/>
      <c r="C117" s="138"/>
      <c r="D117" s="124" t="s">
        <v>376</v>
      </c>
      <c r="E117" s="124" t="s">
        <v>377</v>
      </c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</row>
    <row r="118" ht="11.25" customHeight="1">
      <c r="A118" s="67"/>
      <c r="B118" s="122" t="s">
        <v>378</v>
      </c>
      <c r="C118" s="138"/>
      <c r="D118" s="124" t="s">
        <v>379</v>
      </c>
      <c r="E118" s="124" t="s">
        <v>380</v>
      </c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</row>
    <row r="119" ht="11.25" customHeight="1">
      <c r="A119" s="67"/>
      <c r="B119" s="67"/>
      <c r="C119" s="138"/>
      <c r="D119" s="124" t="s">
        <v>381</v>
      </c>
      <c r="E119" s="124" t="s">
        <v>382</v>
      </c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</row>
    <row r="120" ht="11.25" customHeight="1">
      <c r="A120" s="67"/>
      <c r="B120" s="67"/>
      <c r="C120" s="138"/>
      <c r="D120" s="124" t="s">
        <v>383</v>
      </c>
      <c r="E120" s="124" t="s">
        <v>384</v>
      </c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</row>
    <row r="121" ht="11.25" customHeight="1">
      <c r="A121" s="67"/>
      <c r="B121" s="70"/>
      <c r="C121" s="138"/>
      <c r="D121" s="124" t="s">
        <v>385</v>
      </c>
      <c r="E121" s="124" t="s">
        <v>386</v>
      </c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</row>
    <row r="122" ht="45.0" customHeight="1">
      <c r="A122" s="67"/>
      <c r="B122" s="122" t="s">
        <v>387</v>
      </c>
      <c r="C122" s="138"/>
      <c r="D122" s="124" t="s">
        <v>388</v>
      </c>
      <c r="E122" s="124" t="s">
        <v>389</v>
      </c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</row>
    <row r="123" ht="11.25" customHeight="1">
      <c r="A123" s="67"/>
      <c r="B123" s="67"/>
      <c r="C123" s="138"/>
      <c r="D123" s="124" t="s">
        <v>390</v>
      </c>
      <c r="E123" s="124" t="s">
        <v>391</v>
      </c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</row>
    <row r="124" ht="11.25" customHeight="1">
      <c r="A124" s="67"/>
      <c r="B124" s="67"/>
      <c r="C124" s="138"/>
      <c r="D124" s="124" t="s">
        <v>392</v>
      </c>
      <c r="E124" s="124" t="s">
        <v>393</v>
      </c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</row>
    <row r="125" ht="11.25" customHeight="1">
      <c r="A125" s="67"/>
      <c r="B125" s="70"/>
      <c r="C125" s="138"/>
      <c r="D125" s="124" t="s">
        <v>394</v>
      </c>
      <c r="E125" s="124" t="s">
        <v>395</v>
      </c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</row>
    <row r="126" ht="11.25" customHeight="1">
      <c r="A126" s="67"/>
      <c r="B126" s="122" t="s">
        <v>396</v>
      </c>
      <c r="C126" s="138"/>
      <c r="D126" s="124" t="s">
        <v>397</v>
      </c>
      <c r="E126" s="124" t="s">
        <v>398</v>
      </c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</row>
    <row r="127" ht="11.25" customHeight="1">
      <c r="A127" s="67"/>
      <c r="B127" s="67"/>
      <c r="C127" s="138"/>
      <c r="D127" s="124" t="s">
        <v>399</v>
      </c>
      <c r="E127" s="124" t="s">
        <v>400</v>
      </c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</row>
    <row r="128" ht="11.25" customHeight="1">
      <c r="A128" s="67"/>
      <c r="B128" s="67"/>
      <c r="C128" s="138"/>
      <c r="D128" s="124" t="s">
        <v>401</v>
      </c>
      <c r="E128" s="124" t="s">
        <v>402</v>
      </c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</row>
    <row r="129" ht="11.25" customHeight="1">
      <c r="A129" s="70"/>
      <c r="B129" s="70"/>
      <c r="C129" s="138"/>
      <c r="D129" s="124" t="s">
        <v>403</v>
      </c>
      <c r="E129" s="124" t="s">
        <v>404</v>
      </c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</row>
    <row r="130" ht="11.25" hidden="1" customHeight="1">
      <c r="A130" s="139"/>
      <c r="B130" s="139"/>
      <c r="C130" s="140"/>
      <c r="D130" s="126"/>
      <c r="E130" s="126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</row>
    <row r="131" ht="11.25" hidden="1" customHeight="1">
      <c r="A131" s="139"/>
      <c r="B131" s="139"/>
      <c r="C131" s="140"/>
      <c r="D131" s="126"/>
      <c r="E131" s="126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</row>
    <row r="132" ht="11.25" hidden="1" customHeight="1">
      <c r="A132" s="139"/>
      <c r="B132" s="139"/>
      <c r="C132" s="140"/>
      <c r="D132" s="126"/>
      <c r="E132" s="126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</row>
    <row r="133" ht="11.25" hidden="1" customHeight="1">
      <c r="A133" s="139"/>
      <c r="B133" s="139"/>
      <c r="C133" s="140"/>
      <c r="D133" s="126"/>
      <c r="E133" s="126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</row>
    <row r="134" ht="11.25" hidden="1" customHeight="1">
      <c r="A134" s="139"/>
      <c r="B134" s="139"/>
      <c r="C134" s="140"/>
      <c r="D134" s="126"/>
      <c r="E134" s="126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</row>
    <row r="135" ht="11.25" hidden="1" customHeight="1">
      <c r="A135" s="139"/>
      <c r="B135" s="139"/>
      <c r="C135" s="140"/>
      <c r="D135" s="126"/>
      <c r="E135" s="126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</row>
    <row r="136" ht="11.25" hidden="1" customHeight="1">
      <c r="A136" s="139"/>
      <c r="B136" s="139"/>
      <c r="C136" s="140"/>
      <c r="D136" s="126"/>
      <c r="E136" s="126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</row>
    <row r="137" ht="11.25" hidden="1" customHeight="1">
      <c r="A137" s="139"/>
      <c r="B137" s="139"/>
      <c r="C137" s="140"/>
      <c r="D137" s="126"/>
      <c r="E137" s="126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</row>
    <row r="138" ht="11.25" hidden="1" customHeight="1">
      <c r="A138" s="139"/>
      <c r="B138" s="139"/>
      <c r="C138" s="140"/>
      <c r="D138" s="126"/>
      <c r="E138" s="126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</row>
    <row r="139" ht="11.25" hidden="1" customHeight="1">
      <c r="A139" s="139"/>
      <c r="B139" s="139"/>
      <c r="C139" s="140"/>
      <c r="D139" s="126"/>
      <c r="E139" s="126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</row>
    <row r="140" ht="11.25" hidden="1" customHeight="1">
      <c r="A140" s="139"/>
      <c r="B140" s="139"/>
      <c r="C140" s="140"/>
      <c r="D140" s="126"/>
      <c r="E140" s="126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</row>
    <row r="141" ht="11.25" hidden="1" customHeight="1">
      <c r="A141" s="139"/>
      <c r="B141" s="139"/>
      <c r="C141" s="140"/>
      <c r="D141" s="126"/>
      <c r="E141" s="126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</row>
    <row r="142" ht="11.25" hidden="1" customHeight="1">
      <c r="A142" s="139"/>
      <c r="B142" s="139"/>
      <c r="C142" s="140"/>
      <c r="D142" s="126"/>
      <c r="E142" s="126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</row>
    <row r="143" ht="11.25" hidden="1" customHeight="1">
      <c r="A143" s="139"/>
      <c r="B143" s="139"/>
      <c r="C143" s="140"/>
      <c r="D143" s="126"/>
      <c r="E143" s="126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</row>
    <row r="144" ht="11.25" hidden="1" customHeight="1">
      <c r="A144" s="139"/>
      <c r="B144" s="139"/>
      <c r="C144" s="140"/>
      <c r="D144" s="126"/>
      <c r="E144" s="126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</row>
    <row r="145" ht="11.25" hidden="1" customHeight="1">
      <c r="A145" s="139"/>
      <c r="B145" s="139"/>
      <c r="C145" s="140"/>
      <c r="D145" s="126"/>
      <c r="E145" s="126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</row>
    <row r="146" ht="11.25" hidden="1" customHeight="1">
      <c r="A146" s="139"/>
      <c r="B146" s="139"/>
      <c r="C146" s="140"/>
      <c r="D146" s="126"/>
      <c r="E146" s="126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</row>
    <row r="147" ht="11.25" hidden="1" customHeight="1">
      <c r="A147" s="139"/>
      <c r="B147" s="139"/>
      <c r="C147" s="140"/>
      <c r="D147" s="126"/>
      <c r="E147" s="126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</row>
    <row r="148" ht="11.25" hidden="1" customHeight="1">
      <c r="A148" s="139"/>
      <c r="B148" s="139"/>
      <c r="C148" s="140"/>
      <c r="D148" s="126"/>
      <c r="E148" s="126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</row>
    <row r="149" ht="11.25" hidden="1" customHeight="1">
      <c r="A149" s="139"/>
      <c r="B149" s="139"/>
      <c r="C149" s="140"/>
      <c r="D149" s="126"/>
      <c r="E149" s="126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</row>
    <row r="150" ht="11.25" hidden="1" customHeight="1">
      <c r="A150" s="139"/>
      <c r="B150" s="139"/>
      <c r="C150" s="140"/>
      <c r="D150" s="126"/>
      <c r="E150" s="126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</row>
    <row r="151" ht="11.25" hidden="1" customHeight="1">
      <c r="A151" s="139"/>
      <c r="B151" s="139"/>
      <c r="C151" s="140"/>
      <c r="D151" s="126"/>
      <c r="E151" s="126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</row>
    <row r="152" ht="11.25" hidden="1" customHeight="1">
      <c r="A152" s="139"/>
      <c r="B152" s="139"/>
      <c r="C152" s="140"/>
      <c r="D152" s="126"/>
      <c r="E152" s="126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</row>
    <row r="153" ht="11.25" hidden="1" customHeight="1">
      <c r="A153" s="139"/>
      <c r="B153" s="139"/>
      <c r="C153" s="140"/>
      <c r="D153" s="126"/>
      <c r="E153" s="126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</row>
    <row r="154" ht="11.25" hidden="1" customHeight="1">
      <c r="A154" s="139"/>
      <c r="B154" s="139"/>
      <c r="C154" s="140"/>
      <c r="D154" s="126"/>
      <c r="E154" s="126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</row>
    <row r="155" ht="11.25" hidden="1" customHeight="1">
      <c r="A155" s="139"/>
      <c r="B155" s="139"/>
      <c r="C155" s="140"/>
      <c r="D155" s="126"/>
      <c r="E155" s="126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</row>
    <row r="156" ht="11.25" hidden="1" customHeight="1">
      <c r="A156" s="139"/>
      <c r="B156" s="139"/>
      <c r="C156" s="140"/>
      <c r="D156" s="126"/>
      <c r="E156" s="126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</row>
    <row r="157" ht="11.25" hidden="1" customHeight="1">
      <c r="A157" s="139"/>
      <c r="B157" s="139"/>
      <c r="C157" s="140"/>
      <c r="D157" s="126"/>
      <c r="E157" s="126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</row>
    <row r="158" ht="11.25" hidden="1" customHeight="1">
      <c r="A158" s="139"/>
      <c r="B158" s="139"/>
      <c r="C158" s="140"/>
      <c r="D158" s="126"/>
      <c r="E158" s="126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</row>
    <row r="159" ht="11.25" hidden="1" customHeight="1">
      <c r="A159" s="139"/>
      <c r="B159" s="139"/>
      <c r="C159" s="140"/>
      <c r="D159" s="126"/>
      <c r="E159" s="126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</row>
    <row r="160" ht="11.25" hidden="1" customHeight="1">
      <c r="A160" s="139"/>
      <c r="B160" s="139"/>
      <c r="C160" s="140"/>
      <c r="D160" s="126"/>
      <c r="E160" s="126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</row>
    <row r="161" ht="11.25" hidden="1" customHeight="1">
      <c r="A161" s="139"/>
      <c r="B161" s="139"/>
      <c r="C161" s="140"/>
      <c r="D161" s="126"/>
      <c r="E161" s="126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</row>
    <row r="162" ht="11.25" hidden="1" customHeight="1">
      <c r="A162" s="139"/>
      <c r="B162" s="139"/>
      <c r="C162" s="140"/>
      <c r="D162" s="126"/>
      <c r="E162" s="126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</row>
    <row r="163" ht="11.25" hidden="1" customHeight="1">
      <c r="A163" s="139"/>
      <c r="B163" s="139"/>
      <c r="C163" s="140"/>
      <c r="D163" s="126"/>
      <c r="E163" s="126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</row>
    <row r="164" ht="11.25" hidden="1" customHeight="1">
      <c r="A164" s="139"/>
      <c r="B164" s="139"/>
      <c r="C164" s="140"/>
      <c r="D164" s="126"/>
      <c r="E164" s="126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</row>
    <row r="165" ht="11.25" hidden="1" customHeight="1">
      <c r="A165" s="139"/>
      <c r="B165" s="139"/>
      <c r="C165" s="140"/>
      <c r="D165" s="126"/>
      <c r="E165" s="126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</row>
    <row r="166" ht="11.25" hidden="1" customHeight="1">
      <c r="A166" s="139"/>
      <c r="B166" s="139"/>
      <c r="C166" s="140"/>
      <c r="D166" s="126"/>
      <c r="E166" s="126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</row>
    <row r="167" ht="11.25" hidden="1" customHeight="1">
      <c r="A167" s="139"/>
      <c r="B167" s="139"/>
      <c r="C167" s="140"/>
      <c r="D167" s="126"/>
      <c r="E167" s="126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</row>
    <row r="168" ht="11.25" hidden="1" customHeight="1">
      <c r="A168" s="139"/>
      <c r="B168" s="139"/>
      <c r="C168" s="140"/>
      <c r="D168" s="126"/>
      <c r="E168" s="126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</row>
    <row r="169" ht="11.25" hidden="1" customHeight="1">
      <c r="A169" s="139"/>
      <c r="B169" s="139"/>
      <c r="C169" s="140"/>
      <c r="D169" s="126"/>
      <c r="E169" s="126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</row>
    <row r="170" ht="11.25" hidden="1" customHeight="1">
      <c r="A170" s="139"/>
      <c r="B170" s="139"/>
      <c r="C170" s="140"/>
      <c r="D170" s="126"/>
      <c r="E170" s="126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</row>
    <row r="171" ht="11.25" hidden="1" customHeight="1">
      <c r="A171" s="139"/>
      <c r="B171" s="139"/>
      <c r="C171" s="140"/>
      <c r="D171" s="126"/>
      <c r="E171" s="126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</row>
    <row r="172" ht="11.25" hidden="1" customHeight="1">
      <c r="A172" s="139"/>
      <c r="B172" s="139"/>
      <c r="C172" s="140"/>
      <c r="D172" s="126"/>
      <c r="E172" s="126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</row>
    <row r="173" ht="11.25" hidden="1" customHeight="1">
      <c r="A173" s="139"/>
      <c r="B173" s="139"/>
      <c r="C173" s="140"/>
      <c r="D173" s="126"/>
      <c r="E173" s="126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</row>
    <row r="174" ht="11.25" hidden="1" customHeight="1">
      <c r="A174" s="139"/>
      <c r="B174" s="139"/>
      <c r="C174" s="140"/>
      <c r="D174" s="126"/>
      <c r="E174" s="126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</row>
    <row r="175" ht="11.25" hidden="1" customHeight="1">
      <c r="A175" s="139"/>
      <c r="B175" s="139"/>
      <c r="C175" s="140"/>
      <c r="D175" s="126"/>
      <c r="E175" s="126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</row>
    <row r="176" ht="11.25" hidden="1" customHeight="1">
      <c r="A176" s="139"/>
      <c r="B176" s="139"/>
      <c r="C176" s="140"/>
      <c r="D176" s="126"/>
      <c r="E176" s="126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</row>
    <row r="177" ht="11.25" hidden="1" customHeight="1">
      <c r="A177" s="139"/>
      <c r="B177" s="139"/>
      <c r="C177" s="140"/>
      <c r="D177" s="126"/>
      <c r="E177" s="126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</row>
    <row r="178" ht="11.25" hidden="1" customHeight="1">
      <c r="A178" s="139"/>
      <c r="B178" s="139"/>
      <c r="C178" s="140"/>
      <c r="D178" s="126"/>
      <c r="E178" s="126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</row>
    <row r="179" ht="11.25" hidden="1" customHeight="1">
      <c r="A179" s="139"/>
      <c r="B179" s="139"/>
      <c r="C179" s="140"/>
      <c r="D179" s="126"/>
      <c r="E179" s="126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</row>
    <row r="180" ht="11.25" hidden="1" customHeight="1">
      <c r="A180" s="139"/>
      <c r="B180" s="139"/>
      <c r="C180" s="140"/>
      <c r="D180" s="126"/>
      <c r="E180" s="126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</row>
    <row r="181" ht="11.25" hidden="1" customHeight="1">
      <c r="A181" s="139"/>
      <c r="B181" s="139"/>
      <c r="C181" s="140"/>
      <c r="D181" s="126"/>
      <c r="E181" s="126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</row>
    <row r="182" ht="11.25" hidden="1" customHeight="1">
      <c r="A182" s="139"/>
      <c r="B182" s="139"/>
      <c r="C182" s="140"/>
      <c r="D182" s="126"/>
      <c r="E182" s="126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</row>
    <row r="183" ht="11.25" hidden="1" customHeight="1">
      <c r="A183" s="139"/>
      <c r="B183" s="139"/>
      <c r="C183" s="140"/>
      <c r="D183" s="126"/>
      <c r="E183" s="126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</row>
    <row r="184" ht="11.25" hidden="1" customHeight="1">
      <c r="A184" s="139"/>
      <c r="B184" s="139"/>
      <c r="C184" s="140"/>
      <c r="D184" s="126"/>
      <c r="E184" s="126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</row>
    <row r="185" ht="11.25" hidden="1" customHeight="1">
      <c r="A185" s="139"/>
      <c r="B185" s="139"/>
      <c r="C185" s="140"/>
      <c r="D185" s="126"/>
      <c r="E185" s="126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</row>
    <row r="186" ht="11.25" hidden="1" customHeight="1">
      <c r="A186" s="139"/>
      <c r="B186" s="139"/>
      <c r="C186" s="140"/>
      <c r="D186" s="126"/>
      <c r="E186" s="126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</row>
    <row r="187" ht="11.25" hidden="1" customHeight="1">
      <c r="A187" s="139"/>
      <c r="B187" s="139"/>
      <c r="C187" s="140"/>
      <c r="D187" s="126"/>
      <c r="E187" s="126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</row>
    <row r="188" ht="11.25" hidden="1" customHeight="1">
      <c r="A188" s="139"/>
      <c r="B188" s="139"/>
      <c r="C188" s="140"/>
      <c r="D188" s="126"/>
      <c r="E188" s="126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</row>
    <row r="189" ht="11.25" hidden="1" customHeight="1">
      <c r="A189" s="139"/>
      <c r="B189" s="139"/>
      <c r="C189" s="140"/>
      <c r="D189" s="126"/>
      <c r="E189" s="126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</row>
    <row r="190" ht="11.25" hidden="1" customHeight="1">
      <c r="A190" s="139"/>
      <c r="B190" s="139"/>
      <c r="C190" s="140"/>
      <c r="D190" s="126"/>
      <c r="E190" s="126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</row>
    <row r="191" ht="11.25" hidden="1" customHeight="1">
      <c r="A191" s="139"/>
      <c r="B191" s="139"/>
      <c r="C191" s="140"/>
      <c r="D191" s="126"/>
      <c r="E191" s="126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</row>
    <row r="192" ht="11.25" hidden="1" customHeight="1">
      <c r="A192" s="139"/>
      <c r="B192" s="139"/>
      <c r="C192" s="140"/>
      <c r="D192" s="126"/>
      <c r="E192" s="126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</row>
    <row r="193" ht="11.25" hidden="1" customHeight="1">
      <c r="A193" s="139"/>
      <c r="B193" s="139"/>
      <c r="C193" s="140"/>
      <c r="D193" s="126"/>
      <c r="E193" s="126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</row>
    <row r="194" ht="11.25" hidden="1" customHeight="1">
      <c r="A194" s="139"/>
      <c r="B194" s="139"/>
      <c r="C194" s="140"/>
      <c r="D194" s="126"/>
      <c r="E194" s="126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</row>
    <row r="195" ht="11.25" hidden="1" customHeight="1">
      <c r="A195" s="139"/>
      <c r="B195" s="139"/>
      <c r="C195" s="140"/>
      <c r="D195" s="126"/>
      <c r="E195" s="126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</row>
    <row r="196" ht="11.25" hidden="1" customHeight="1">
      <c r="A196" s="139"/>
      <c r="B196" s="139"/>
      <c r="C196" s="140"/>
      <c r="D196" s="126"/>
      <c r="E196" s="126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</row>
    <row r="197" ht="11.25" hidden="1" customHeight="1">
      <c r="A197" s="139"/>
      <c r="B197" s="139"/>
      <c r="C197" s="140"/>
      <c r="D197" s="126"/>
      <c r="E197" s="126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</row>
    <row r="198" ht="11.25" hidden="1" customHeight="1">
      <c r="A198" s="139"/>
      <c r="B198" s="139"/>
      <c r="C198" s="140"/>
      <c r="D198" s="126"/>
      <c r="E198" s="126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</row>
    <row r="199" ht="11.25" hidden="1" customHeight="1">
      <c r="A199" s="139"/>
      <c r="B199" s="139"/>
      <c r="C199" s="140"/>
      <c r="D199" s="126"/>
      <c r="E199" s="126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</row>
    <row r="200" ht="11.25" hidden="1" customHeight="1">
      <c r="A200" s="139"/>
      <c r="B200" s="139"/>
      <c r="C200" s="140"/>
      <c r="D200" s="126"/>
      <c r="E200" s="126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</row>
    <row r="201" ht="11.25" hidden="1" customHeight="1">
      <c r="A201" s="139"/>
      <c r="B201" s="139"/>
      <c r="C201" s="140"/>
      <c r="D201" s="126"/>
      <c r="E201" s="126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</row>
    <row r="202" ht="11.25" hidden="1" customHeight="1">
      <c r="A202" s="139"/>
      <c r="B202" s="139"/>
      <c r="C202" s="140"/>
      <c r="D202" s="126"/>
      <c r="E202" s="126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</row>
    <row r="203" ht="11.25" hidden="1" customHeight="1">
      <c r="A203" s="139"/>
      <c r="B203" s="139"/>
      <c r="C203" s="140"/>
      <c r="D203" s="126"/>
      <c r="E203" s="126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</row>
    <row r="204" ht="11.25" hidden="1" customHeight="1">
      <c r="A204" s="139"/>
      <c r="B204" s="139"/>
      <c r="C204" s="140"/>
      <c r="D204" s="126"/>
      <c r="E204" s="126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</row>
    <row r="205" ht="11.25" hidden="1" customHeight="1">
      <c r="A205" s="139"/>
      <c r="B205" s="139"/>
      <c r="C205" s="140"/>
      <c r="D205" s="126"/>
      <c r="E205" s="126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</row>
    <row r="206" ht="11.25" hidden="1" customHeight="1">
      <c r="A206" s="139"/>
      <c r="B206" s="139"/>
      <c r="C206" s="140"/>
      <c r="D206" s="126"/>
      <c r="E206" s="126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</row>
    <row r="207" ht="11.25" hidden="1" customHeight="1">
      <c r="A207" s="139"/>
      <c r="B207" s="139"/>
      <c r="C207" s="140"/>
      <c r="D207" s="126"/>
      <c r="E207" s="126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</row>
    <row r="208" ht="11.25" hidden="1" customHeight="1">
      <c r="A208" s="139"/>
      <c r="B208" s="139"/>
      <c r="C208" s="140"/>
      <c r="D208" s="126"/>
      <c r="E208" s="126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</row>
    <row r="209" ht="11.25" hidden="1" customHeight="1">
      <c r="A209" s="139"/>
      <c r="B209" s="139"/>
      <c r="C209" s="140"/>
      <c r="D209" s="126"/>
      <c r="E209" s="126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</row>
    <row r="210" ht="11.25" hidden="1" customHeight="1">
      <c r="A210" s="139"/>
      <c r="B210" s="139"/>
      <c r="C210" s="140"/>
      <c r="D210" s="126"/>
      <c r="E210" s="126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</row>
    <row r="211" ht="11.25" hidden="1" customHeight="1">
      <c r="A211" s="139"/>
      <c r="B211" s="139"/>
      <c r="C211" s="140"/>
      <c r="D211" s="126"/>
      <c r="E211" s="126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</row>
    <row r="212" ht="11.25" hidden="1" customHeight="1">
      <c r="A212" s="139"/>
      <c r="B212" s="139"/>
      <c r="C212" s="140"/>
      <c r="D212" s="126"/>
      <c r="E212" s="126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</row>
    <row r="213" ht="11.25" hidden="1" customHeight="1">
      <c r="A213" s="139"/>
      <c r="B213" s="139"/>
      <c r="C213" s="140"/>
      <c r="D213" s="126"/>
      <c r="E213" s="126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</row>
    <row r="214" ht="11.25" hidden="1" customHeight="1">
      <c r="A214" s="139"/>
      <c r="B214" s="139"/>
      <c r="C214" s="140"/>
      <c r="D214" s="126"/>
      <c r="E214" s="126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</row>
    <row r="215" ht="11.25" hidden="1" customHeight="1">
      <c r="A215" s="139"/>
      <c r="B215" s="139"/>
      <c r="C215" s="140"/>
      <c r="D215" s="126"/>
      <c r="E215" s="126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</row>
    <row r="216" ht="11.25" hidden="1" customHeight="1">
      <c r="A216" s="139"/>
      <c r="B216" s="139"/>
      <c r="C216" s="140"/>
      <c r="D216" s="126"/>
      <c r="E216" s="126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</row>
    <row r="217" ht="11.25" hidden="1" customHeight="1">
      <c r="A217" s="139"/>
      <c r="B217" s="139"/>
      <c r="C217" s="140"/>
      <c r="D217" s="126"/>
      <c r="E217" s="126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</row>
    <row r="218" ht="11.25" hidden="1" customHeight="1">
      <c r="A218" s="139"/>
      <c r="B218" s="139"/>
      <c r="C218" s="140"/>
      <c r="D218" s="126"/>
      <c r="E218" s="126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</row>
    <row r="219" ht="11.25" hidden="1" customHeight="1">
      <c r="A219" s="139"/>
      <c r="B219" s="139"/>
      <c r="C219" s="140"/>
      <c r="D219" s="126"/>
      <c r="E219" s="126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</row>
    <row r="220" ht="11.25" hidden="1" customHeight="1">
      <c r="A220" s="139"/>
      <c r="B220" s="139"/>
      <c r="C220" s="140"/>
      <c r="D220" s="126"/>
      <c r="E220" s="126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</row>
    <row r="221" ht="11.25" hidden="1" customHeight="1">
      <c r="A221" s="139"/>
      <c r="B221" s="139"/>
      <c r="C221" s="140"/>
      <c r="D221" s="126"/>
      <c r="E221" s="126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</row>
    <row r="222" ht="11.25" hidden="1" customHeight="1">
      <c r="A222" s="139"/>
      <c r="B222" s="139"/>
      <c r="C222" s="140"/>
      <c r="D222" s="126"/>
      <c r="E222" s="126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</row>
    <row r="223" ht="11.25" hidden="1" customHeight="1">
      <c r="A223" s="139"/>
      <c r="B223" s="139"/>
      <c r="C223" s="140"/>
      <c r="D223" s="126"/>
      <c r="E223" s="126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</row>
    <row r="224" ht="11.25" hidden="1" customHeight="1">
      <c r="A224" s="139"/>
      <c r="B224" s="139"/>
      <c r="C224" s="140"/>
      <c r="D224" s="126"/>
      <c r="E224" s="126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</row>
    <row r="225" ht="11.25" hidden="1" customHeight="1">
      <c r="A225" s="139"/>
      <c r="B225" s="139"/>
      <c r="C225" s="140"/>
      <c r="D225" s="126"/>
      <c r="E225" s="126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</row>
    <row r="226" ht="11.25" hidden="1" customHeight="1">
      <c r="A226" s="139"/>
      <c r="B226" s="139"/>
      <c r="C226" s="140"/>
      <c r="D226" s="126"/>
      <c r="E226" s="126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</row>
    <row r="227" ht="11.25" hidden="1" customHeight="1">
      <c r="A227" s="139"/>
      <c r="B227" s="139"/>
      <c r="C227" s="140"/>
      <c r="D227" s="126"/>
      <c r="E227" s="126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</row>
    <row r="228" ht="11.25" hidden="1" customHeight="1">
      <c r="A228" s="139"/>
      <c r="B228" s="139"/>
      <c r="C228" s="140"/>
      <c r="D228" s="126"/>
      <c r="E228" s="126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</row>
    <row r="229" ht="11.25" hidden="1" customHeight="1">
      <c r="A229" s="139"/>
      <c r="B229" s="139"/>
      <c r="C229" s="140"/>
      <c r="D229" s="126"/>
      <c r="E229" s="126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</row>
    <row r="230" ht="11.25" hidden="1" customHeight="1">
      <c r="A230" s="139"/>
      <c r="B230" s="139"/>
      <c r="C230" s="140"/>
      <c r="D230" s="126"/>
      <c r="E230" s="126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</row>
    <row r="231" ht="11.25" hidden="1" customHeight="1">
      <c r="A231" s="139"/>
      <c r="B231" s="139"/>
      <c r="C231" s="140"/>
      <c r="D231" s="126"/>
      <c r="E231" s="126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</row>
    <row r="232" ht="11.25" hidden="1" customHeight="1">
      <c r="A232" s="139"/>
      <c r="B232" s="139"/>
      <c r="C232" s="140"/>
      <c r="D232" s="126"/>
      <c r="E232" s="126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</row>
    <row r="233" ht="11.25" hidden="1" customHeight="1">
      <c r="A233" s="139"/>
      <c r="B233" s="139"/>
      <c r="C233" s="140"/>
      <c r="D233" s="126"/>
      <c r="E233" s="126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</row>
    <row r="234" ht="11.25" hidden="1" customHeight="1">
      <c r="A234" s="139"/>
      <c r="B234" s="139"/>
      <c r="C234" s="140"/>
      <c r="D234" s="126"/>
      <c r="E234" s="126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</row>
    <row r="235" ht="11.25" hidden="1" customHeight="1">
      <c r="A235" s="139"/>
      <c r="B235" s="139"/>
      <c r="C235" s="140"/>
      <c r="D235" s="126"/>
      <c r="E235" s="126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</row>
    <row r="236" ht="11.25" hidden="1" customHeight="1">
      <c r="A236" s="139"/>
      <c r="B236" s="139"/>
      <c r="C236" s="140"/>
      <c r="D236" s="126"/>
      <c r="E236" s="126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</row>
    <row r="237" ht="11.25" hidden="1" customHeight="1">
      <c r="A237" s="139"/>
      <c r="B237" s="139"/>
      <c r="C237" s="140"/>
      <c r="D237" s="126"/>
      <c r="E237" s="126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</row>
    <row r="238" ht="11.25" hidden="1" customHeight="1">
      <c r="A238" s="139"/>
      <c r="B238" s="139"/>
      <c r="C238" s="140"/>
      <c r="D238" s="126"/>
      <c r="E238" s="126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</row>
    <row r="239" ht="11.25" hidden="1" customHeight="1">
      <c r="A239" s="139"/>
      <c r="B239" s="139"/>
      <c r="C239" s="140"/>
      <c r="D239" s="126"/>
      <c r="E239" s="126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</row>
    <row r="240" ht="11.25" hidden="1" customHeight="1">
      <c r="A240" s="139"/>
      <c r="B240" s="139"/>
      <c r="C240" s="140"/>
      <c r="D240" s="126"/>
      <c r="E240" s="126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</row>
    <row r="241" ht="11.25" hidden="1" customHeight="1">
      <c r="A241" s="139"/>
      <c r="B241" s="139"/>
      <c r="C241" s="140"/>
      <c r="D241" s="126"/>
      <c r="E241" s="126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</row>
    <row r="242" ht="11.25" hidden="1" customHeight="1">
      <c r="A242" s="139"/>
      <c r="B242" s="139"/>
      <c r="C242" s="140"/>
      <c r="D242" s="126"/>
      <c r="E242" s="126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</row>
    <row r="243" ht="11.25" hidden="1" customHeight="1">
      <c r="A243" s="139"/>
      <c r="B243" s="139"/>
      <c r="C243" s="140"/>
      <c r="D243" s="126"/>
      <c r="E243" s="126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</row>
    <row r="244" ht="11.25" hidden="1" customHeight="1">
      <c r="A244" s="139"/>
      <c r="B244" s="139"/>
      <c r="C244" s="140"/>
      <c r="D244" s="126"/>
      <c r="E244" s="126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</row>
    <row r="245" ht="11.25" hidden="1" customHeight="1">
      <c r="A245" s="139"/>
      <c r="B245" s="139"/>
      <c r="C245" s="140"/>
      <c r="D245" s="126"/>
      <c r="E245" s="126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</row>
    <row r="246" ht="11.25" hidden="1" customHeight="1">
      <c r="A246" s="139"/>
      <c r="B246" s="139"/>
      <c r="C246" s="140"/>
      <c r="D246" s="126"/>
      <c r="E246" s="126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</row>
    <row r="247" ht="11.25" hidden="1" customHeight="1">
      <c r="A247" s="139"/>
      <c r="B247" s="139"/>
      <c r="C247" s="140"/>
      <c r="D247" s="126"/>
      <c r="E247" s="126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</row>
    <row r="248" ht="11.25" hidden="1" customHeight="1">
      <c r="A248" s="139"/>
      <c r="B248" s="139"/>
      <c r="C248" s="140"/>
      <c r="D248" s="126"/>
      <c r="E248" s="126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</row>
    <row r="249" ht="11.25" hidden="1" customHeight="1">
      <c r="A249" s="139"/>
      <c r="B249" s="139"/>
      <c r="C249" s="140"/>
      <c r="D249" s="126"/>
      <c r="E249" s="126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</row>
    <row r="250" ht="11.25" hidden="1" customHeight="1">
      <c r="A250" s="139"/>
      <c r="B250" s="139"/>
      <c r="C250" s="140"/>
      <c r="D250" s="126"/>
      <c r="E250" s="126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</row>
    <row r="251" ht="11.25" hidden="1" customHeight="1">
      <c r="A251" s="139"/>
      <c r="B251" s="139"/>
      <c r="C251" s="140"/>
      <c r="D251" s="126"/>
      <c r="E251" s="126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</row>
    <row r="252" ht="11.25" hidden="1" customHeight="1">
      <c r="A252" s="139"/>
      <c r="B252" s="139"/>
      <c r="C252" s="140"/>
      <c r="D252" s="126"/>
      <c r="E252" s="126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</row>
    <row r="253" ht="11.25" hidden="1" customHeight="1">
      <c r="A253" s="139"/>
      <c r="B253" s="139"/>
      <c r="C253" s="140"/>
      <c r="D253" s="126"/>
      <c r="E253" s="126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</row>
    <row r="254" ht="11.25" hidden="1" customHeight="1">
      <c r="A254" s="139"/>
      <c r="B254" s="139"/>
      <c r="C254" s="140"/>
      <c r="D254" s="126"/>
      <c r="E254" s="126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</row>
    <row r="255" ht="11.25" hidden="1" customHeight="1">
      <c r="A255" s="139"/>
      <c r="B255" s="139"/>
      <c r="C255" s="140"/>
      <c r="D255" s="126"/>
      <c r="E255" s="126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</row>
    <row r="256" ht="11.25" hidden="1" customHeight="1">
      <c r="A256" s="139"/>
      <c r="B256" s="139"/>
      <c r="C256" s="140"/>
      <c r="D256" s="126"/>
      <c r="E256" s="126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</row>
    <row r="257" ht="11.25" hidden="1" customHeight="1">
      <c r="A257" s="139"/>
      <c r="B257" s="139"/>
      <c r="C257" s="140"/>
      <c r="D257" s="126"/>
      <c r="E257" s="126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</row>
    <row r="258" ht="11.25" hidden="1" customHeight="1">
      <c r="A258" s="139"/>
      <c r="B258" s="139"/>
      <c r="C258" s="140"/>
      <c r="D258" s="126"/>
      <c r="E258" s="126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</row>
    <row r="259" ht="11.25" hidden="1" customHeight="1">
      <c r="A259" s="139"/>
      <c r="B259" s="139"/>
      <c r="C259" s="140"/>
      <c r="D259" s="126"/>
      <c r="E259" s="126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</row>
    <row r="260" ht="11.25" hidden="1" customHeight="1">
      <c r="A260" s="139"/>
      <c r="B260" s="139"/>
      <c r="C260" s="140"/>
      <c r="D260" s="126"/>
      <c r="E260" s="126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</row>
    <row r="261" ht="11.25" hidden="1" customHeight="1">
      <c r="A261" s="139"/>
      <c r="B261" s="139"/>
      <c r="C261" s="140"/>
      <c r="D261" s="126"/>
      <c r="E261" s="126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</row>
    <row r="262" ht="11.25" hidden="1" customHeight="1">
      <c r="A262" s="139"/>
      <c r="B262" s="139"/>
      <c r="C262" s="140"/>
      <c r="D262" s="126"/>
      <c r="E262" s="126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</row>
    <row r="263" ht="11.25" hidden="1" customHeight="1">
      <c r="A263" s="139"/>
      <c r="B263" s="139"/>
      <c r="C263" s="140"/>
      <c r="D263" s="126"/>
      <c r="E263" s="126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</row>
    <row r="264" ht="11.25" hidden="1" customHeight="1">
      <c r="A264" s="139"/>
      <c r="B264" s="139"/>
      <c r="C264" s="140"/>
      <c r="D264" s="126"/>
      <c r="E264" s="126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</row>
    <row r="265" ht="11.25" hidden="1" customHeight="1">
      <c r="A265" s="139"/>
      <c r="B265" s="139"/>
      <c r="C265" s="140"/>
      <c r="D265" s="126"/>
      <c r="E265" s="126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</row>
    <row r="266" ht="11.25" hidden="1" customHeight="1">
      <c r="A266" s="139"/>
      <c r="B266" s="139"/>
      <c r="C266" s="140"/>
      <c r="D266" s="126"/>
      <c r="E266" s="126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</row>
    <row r="267" ht="11.25" hidden="1" customHeight="1">
      <c r="A267" s="139"/>
      <c r="B267" s="139"/>
      <c r="C267" s="140"/>
      <c r="D267" s="126"/>
      <c r="E267" s="126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</row>
    <row r="268" ht="11.25" hidden="1" customHeight="1">
      <c r="A268" s="139"/>
      <c r="B268" s="139"/>
      <c r="C268" s="140"/>
      <c r="D268" s="126"/>
      <c r="E268" s="126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</row>
    <row r="269" ht="11.25" hidden="1" customHeight="1">
      <c r="A269" s="139"/>
      <c r="B269" s="139"/>
      <c r="C269" s="140"/>
      <c r="D269" s="126"/>
      <c r="E269" s="126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</row>
    <row r="270" ht="11.25" hidden="1" customHeight="1">
      <c r="A270" s="139"/>
      <c r="B270" s="139"/>
      <c r="C270" s="140"/>
      <c r="D270" s="126"/>
      <c r="E270" s="126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</row>
    <row r="271" ht="11.25" hidden="1" customHeight="1">
      <c r="A271" s="139"/>
      <c r="B271" s="139"/>
      <c r="C271" s="140"/>
      <c r="D271" s="126"/>
      <c r="E271" s="126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</row>
    <row r="272" ht="11.25" hidden="1" customHeight="1">
      <c r="A272" s="139"/>
      <c r="B272" s="139"/>
      <c r="C272" s="140"/>
      <c r="D272" s="126"/>
      <c r="E272" s="126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</row>
    <row r="273" ht="11.25" hidden="1" customHeight="1">
      <c r="A273" s="139"/>
      <c r="B273" s="139"/>
      <c r="C273" s="140"/>
      <c r="D273" s="126"/>
      <c r="E273" s="126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</row>
    <row r="274" ht="11.25" hidden="1" customHeight="1">
      <c r="A274" s="139"/>
      <c r="B274" s="139"/>
      <c r="C274" s="140"/>
      <c r="D274" s="126"/>
      <c r="E274" s="126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</row>
    <row r="275" ht="11.25" hidden="1" customHeight="1">
      <c r="A275" s="139"/>
      <c r="B275" s="139"/>
      <c r="C275" s="140"/>
      <c r="D275" s="126"/>
      <c r="E275" s="126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</row>
    <row r="276" ht="11.25" hidden="1" customHeight="1">
      <c r="A276" s="139"/>
      <c r="B276" s="139"/>
      <c r="C276" s="140"/>
      <c r="D276" s="126"/>
      <c r="E276" s="126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</row>
    <row r="277" ht="11.25" hidden="1" customHeight="1">
      <c r="A277" s="139"/>
      <c r="B277" s="139"/>
      <c r="C277" s="140"/>
      <c r="D277" s="126"/>
      <c r="E277" s="126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</row>
    <row r="278" ht="11.25" hidden="1" customHeight="1">
      <c r="A278" s="139"/>
      <c r="B278" s="139"/>
      <c r="C278" s="140"/>
      <c r="D278" s="126"/>
      <c r="E278" s="126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</row>
    <row r="279" ht="11.25" hidden="1" customHeight="1">
      <c r="A279" s="139"/>
      <c r="B279" s="139"/>
      <c r="C279" s="140"/>
      <c r="D279" s="126"/>
      <c r="E279" s="126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</row>
    <row r="280" ht="11.25" hidden="1" customHeight="1">
      <c r="A280" s="139"/>
      <c r="B280" s="139"/>
      <c r="C280" s="140"/>
      <c r="D280" s="126"/>
      <c r="E280" s="126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</row>
    <row r="281" ht="11.25" hidden="1" customHeight="1">
      <c r="A281" s="139"/>
      <c r="B281" s="139"/>
      <c r="C281" s="140"/>
      <c r="D281" s="126"/>
      <c r="E281" s="126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</row>
    <row r="282" ht="11.25" hidden="1" customHeight="1">
      <c r="A282" s="139"/>
      <c r="B282" s="139"/>
      <c r="C282" s="140"/>
      <c r="D282" s="126"/>
      <c r="E282" s="126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</row>
    <row r="283" ht="11.25" hidden="1" customHeight="1">
      <c r="A283" s="139"/>
      <c r="B283" s="139"/>
      <c r="C283" s="140"/>
      <c r="D283" s="126"/>
      <c r="E283" s="126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</row>
    <row r="284" ht="11.25" hidden="1" customHeight="1">
      <c r="A284" s="139"/>
      <c r="B284" s="139"/>
      <c r="C284" s="140"/>
      <c r="D284" s="126"/>
      <c r="E284" s="126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</row>
    <row r="285" ht="11.25" hidden="1" customHeight="1">
      <c r="A285" s="139"/>
      <c r="B285" s="139"/>
      <c r="C285" s="140"/>
      <c r="D285" s="126"/>
      <c r="E285" s="126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</row>
    <row r="286" ht="11.25" hidden="1" customHeight="1">
      <c r="A286" s="139"/>
      <c r="B286" s="139"/>
      <c r="C286" s="140"/>
      <c r="D286" s="126"/>
      <c r="E286" s="126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</row>
    <row r="287" ht="11.25" hidden="1" customHeight="1">
      <c r="A287" s="139"/>
      <c r="B287" s="139"/>
      <c r="C287" s="140"/>
      <c r="D287" s="126"/>
      <c r="E287" s="126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</row>
    <row r="288" ht="11.25" hidden="1" customHeight="1">
      <c r="A288" s="139"/>
      <c r="B288" s="139"/>
      <c r="C288" s="140"/>
      <c r="D288" s="126"/>
      <c r="E288" s="126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</row>
    <row r="289" ht="11.25" hidden="1" customHeight="1">
      <c r="A289" s="139"/>
      <c r="B289" s="139"/>
      <c r="C289" s="140"/>
      <c r="D289" s="126"/>
      <c r="E289" s="126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</row>
    <row r="290" ht="11.25" hidden="1" customHeight="1">
      <c r="A290" s="139"/>
      <c r="B290" s="139"/>
      <c r="C290" s="140"/>
      <c r="D290" s="126"/>
      <c r="E290" s="126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</row>
    <row r="291" ht="11.25" hidden="1" customHeight="1">
      <c r="A291" s="139"/>
      <c r="B291" s="139"/>
      <c r="C291" s="140"/>
      <c r="D291" s="126"/>
      <c r="E291" s="126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</row>
    <row r="292" ht="11.25" hidden="1" customHeight="1">
      <c r="A292" s="139"/>
      <c r="B292" s="139"/>
      <c r="C292" s="140"/>
      <c r="D292" s="126"/>
      <c r="E292" s="126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</row>
    <row r="293" ht="11.25" hidden="1" customHeight="1">
      <c r="A293" s="139"/>
      <c r="B293" s="139"/>
      <c r="C293" s="140"/>
      <c r="D293" s="126"/>
      <c r="E293" s="126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</row>
    <row r="294" ht="11.25" hidden="1" customHeight="1">
      <c r="A294" s="139"/>
      <c r="B294" s="139"/>
      <c r="C294" s="140"/>
      <c r="D294" s="126"/>
      <c r="E294" s="126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</row>
    <row r="295" ht="11.25" hidden="1" customHeight="1">
      <c r="A295" s="139"/>
      <c r="B295" s="139"/>
      <c r="C295" s="140"/>
      <c r="D295" s="126"/>
      <c r="E295" s="126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</row>
    <row r="296" ht="11.25" hidden="1" customHeight="1">
      <c r="A296" s="139"/>
      <c r="B296" s="139"/>
      <c r="C296" s="140"/>
      <c r="D296" s="126"/>
      <c r="E296" s="126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</row>
    <row r="297" ht="11.25" hidden="1" customHeight="1">
      <c r="A297" s="139"/>
      <c r="B297" s="139"/>
      <c r="C297" s="140"/>
      <c r="D297" s="126"/>
      <c r="E297" s="126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</row>
    <row r="298" ht="11.25" hidden="1" customHeight="1">
      <c r="A298" s="139"/>
      <c r="B298" s="139"/>
      <c r="C298" s="140"/>
      <c r="D298" s="126"/>
      <c r="E298" s="126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</row>
    <row r="299" ht="11.25" hidden="1" customHeight="1">
      <c r="A299" s="139"/>
      <c r="B299" s="139"/>
      <c r="C299" s="140"/>
      <c r="D299" s="126"/>
      <c r="E299" s="126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</row>
    <row r="300" ht="11.25" hidden="1" customHeight="1">
      <c r="A300" s="139"/>
      <c r="B300" s="139"/>
      <c r="C300" s="140"/>
      <c r="D300" s="126"/>
      <c r="E300" s="126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</row>
    <row r="301" ht="11.25" hidden="1" customHeight="1">
      <c r="A301" s="139"/>
      <c r="B301" s="139"/>
      <c r="C301" s="140"/>
      <c r="D301" s="126"/>
      <c r="E301" s="126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</row>
    <row r="302" ht="11.25" hidden="1" customHeight="1">
      <c r="A302" s="139"/>
      <c r="B302" s="139"/>
      <c r="C302" s="140"/>
      <c r="D302" s="126"/>
      <c r="E302" s="126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</row>
    <row r="303" ht="11.25" hidden="1" customHeight="1">
      <c r="A303" s="139"/>
      <c r="B303" s="139"/>
      <c r="C303" s="140"/>
      <c r="D303" s="126"/>
      <c r="E303" s="126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</row>
    <row r="304" ht="11.25" hidden="1" customHeight="1">
      <c r="A304" s="139"/>
      <c r="B304" s="139"/>
      <c r="C304" s="140"/>
      <c r="D304" s="126"/>
      <c r="E304" s="126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</row>
    <row r="305" ht="11.25" hidden="1" customHeight="1">
      <c r="A305" s="139"/>
      <c r="B305" s="139"/>
      <c r="C305" s="140"/>
      <c r="D305" s="126"/>
      <c r="E305" s="126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</row>
    <row r="306" ht="11.25" hidden="1" customHeight="1">
      <c r="A306" s="139"/>
      <c r="B306" s="139"/>
      <c r="C306" s="140"/>
      <c r="D306" s="126"/>
      <c r="E306" s="126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</row>
    <row r="307" ht="11.25" hidden="1" customHeight="1">
      <c r="A307" s="139"/>
      <c r="B307" s="139"/>
      <c r="C307" s="140"/>
      <c r="D307" s="126"/>
      <c r="E307" s="126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</row>
    <row r="308" ht="11.25" hidden="1" customHeight="1">
      <c r="A308" s="139"/>
      <c r="B308" s="139"/>
      <c r="C308" s="140"/>
      <c r="D308" s="126"/>
      <c r="E308" s="126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</row>
    <row r="309" ht="11.25" hidden="1" customHeight="1">
      <c r="A309" s="139"/>
      <c r="B309" s="139"/>
      <c r="C309" s="140"/>
      <c r="D309" s="126"/>
      <c r="E309" s="126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</row>
    <row r="310" ht="11.25" hidden="1" customHeight="1">
      <c r="A310" s="139"/>
      <c r="B310" s="139"/>
      <c r="C310" s="140"/>
      <c r="D310" s="126"/>
      <c r="E310" s="126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</row>
    <row r="311" ht="11.25" hidden="1" customHeight="1">
      <c r="A311" s="139"/>
      <c r="B311" s="139"/>
      <c r="C311" s="140"/>
      <c r="D311" s="126"/>
      <c r="E311" s="126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</row>
    <row r="312" ht="11.25" hidden="1" customHeight="1">
      <c r="A312" s="139"/>
      <c r="B312" s="139"/>
      <c r="C312" s="140"/>
      <c r="D312" s="126"/>
      <c r="E312" s="126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</row>
    <row r="313" ht="11.25" hidden="1" customHeight="1">
      <c r="A313" s="139"/>
      <c r="B313" s="139"/>
      <c r="C313" s="140"/>
      <c r="D313" s="126"/>
      <c r="E313" s="126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</row>
    <row r="314" ht="11.25" hidden="1" customHeight="1">
      <c r="A314" s="139"/>
      <c r="B314" s="139"/>
      <c r="C314" s="140"/>
      <c r="D314" s="126"/>
      <c r="E314" s="126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</row>
    <row r="315" ht="11.25" hidden="1" customHeight="1">
      <c r="A315" s="139"/>
      <c r="B315" s="139"/>
      <c r="C315" s="140"/>
      <c r="D315" s="126"/>
      <c r="E315" s="126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</row>
    <row r="316" ht="11.25" hidden="1" customHeight="1">
      <c r="A316" s="139"/>
      <c r="B316" s="139"/>
      <c r="C316" s="140"/>
      <c r="D316" s="126"/>
      <c r="E316" s="126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</row>
    <row r="317" ht="11.25" hidden="1" customHeight="1">
      <c r="A317" s="139"/>
      <c r="B317" s="139"/>
      <c r="C317" s="140"/>
      <c r="D317" s="126"/>
      <c r="E317" s="126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</row>
    <row r="318" ht="11.25" hidden="1" customHeight="1">
      <c r="A318" s="139"/>
      <c r="B318" s="139"/>
      <c r="C318" s="140"/>
      <c r="D318" s="126"/>
      <c r="E318" s="126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</row>
    <row r="319" ht="11.25" hidden="1" customHeight="1">
      <c r="A319" s="139"/>
      <c r="B319" s="139"/>
      <c r="C319" s="140"/>
      <c r="D319" s="126"/>
      <c r="E319" s="126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</row>
    <row r="320" ht="11.25" hidden="1" customHeight="1">
      <c r="A320" s="139"/>
      <c r="B320" s="139"/>
      <c r="C320" s="140"/>
      <c r="D320" s="126"/>
      <c r="E320" s="126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</row>
    <row r="321" ht="11.25" hidden="1" customHeight="1">
      <c r="A321" s="139"/>
      <c r="B321" s="139"/>
      <c r="C321" s="140"/>
      <c r="D321" s="126"/>
      <c r="E321" s="126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</row>
    <row r="322" ht="11.25" hidden="1" customHeight="1">
      <c r="A322" s="139"/>
      <c r="B322" s="139"/>
      <c r="C322" s="140"/>
      <c r="D322" s="126"/>
      <c r="E322" s="126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</row>
    <row r="323" ht="11.25" hidden="1" customHeight="1">
      <c r="A323" s="139"/>
      <c r="B323" s="139"/>
      <c r="C323" s="140"/>
      <c r="D323" s="126"/>
      <c r="E323" s="126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</row>
    <row r="324" ht="11.25" hidden="1" customHeight="1">
      <c r="A324" s="139"/>
      <c r="B324" s="139"/>
      <c r="C324" s="140"/>
      <c r="D324" s="126"/>
      <c r="E324" s="126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</row>
    <row r="325" ht="11.25" hidden="1" customHeight="1">
      <c r="A325" s="139"/>
      <c r="B325" s="139"/>
      <c r="C325" s="140"/>
      <c r="D325" s="126"/>
      <c r="E325" s="126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</row>
    <row r="326" ht="11.25" hidden="1" customHeight="1">
      <c r="A326" s="139"/>
      <c r="B326" s="139"/>
      <c r="C326" s="140"/>
      <c r="D326" s="126"/>
      <c r="E326" s="126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</row>
    <row r="327" ht="11.25" hidden="1" customHeight="1">
      <c r="A327" s="139"/>
      <c r="B327" s="139"/>
      <c r="C327" s="140"/>
      <c r="D327" s="126"/>
      <c r="E327" s="126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</row>
    <row r="328" ht="11.25" hidden="1" customHeight="1">
      <c r="A328" s="139"/>
      <c r="B328" s="139"/>
      <c r="C328" s="140"/>
      <c r="D328" s="126"/>
      <c r="E328" s="126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</row>
    <row r="329" ht="11.25" hidden="1" customHeight="1">
      <c r="A329" s="139"/>
      <c r="B329" s="139"/>
      <c r="C329" s="140"/>
      <c r="D329" s="126"/>
      <c r="E329" s="126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B14:B17"/>
    <mergeCell ref="C14:C17"/>
    <mergeCell ref="B18:B21"/>
    <mergeCell ref="C18:C21"/>
    <mergeCell ref="B22:B25"/>
    <mergeCell ref="C22:C25"/>
    <mergeCell ref="B26:B29"/>
    <mergeCell ref="C26:C29"/>
    <mergeCell ref="B30:B33"/>
    <mergeCell ref="C30:C33"/>
    <mergeCell ref="B34:B37"/>
    <mergeCell ref="C34:C37"/>
    <mergeCell ref="B38:B41"/>
    <mergeCell ref="C38:C41"/>
    <mergeCell ref="B78:B81"/>
    <mergeCell ref="B90:B93"/>
    <mergeCell ref="B94:B97"/>
    <mergeCell ref="B98:B101"/>
    <mergeCell ref="B102:B105"/>
    <mergeCell ref="B106:B109"/>
    <mergeCell ref="A90:A113"/>
    <mergeCell ref="A114:A129"/>
    <mergeCell ref="B114:B117"/>
    <mergeCell ref="B118:B121"/>
    <mergeCell ref="B122:B125"/>
    <mergeCell ref="B126:B129"/>
    <mergeCell ref="A58:A89"/>
    <mergeCell ref="B58:B61"/>
    <mergeCell ref="B62:B65"/>
    <mergeCell ref="B66:B69"/>
    <mergeCell ref="B70:B73"/>
    <mergeCell ref="B74:B77"/>
    <mergeCell ref="B110:B113"/>
    <mergeCell ref="B42:B45"/>
    <mergeCell ref="C42:C45"/>
    <mergeCell ref="B46:B49"/>
    <mergeCell ref="C46:C49"/>
    <mergeCell ref="B50:B53"/>
    <mergeCell ref="C50:C53"/>
    <mergeCell ref="A2:A57"/>
    <mergeCell ref="B2:B5"/>
    <mergeCell ref="C2:C5"/>
    <mergeCell ref="B6:B9"/>
    <mergeCell ref="C6:C9"/>
    <mergeCell ref="B10:B13"/>
    <mergeCell ref="C10:C13"/>
    <mergeCell ref="B54:B57"/>
    <mergeCell ref="C54:C57"/>
    <mergeCell ref="C58:C61"/>
    <mergeCell ref="C62:C65"/>
    <mergeCell ref="C66:C69"/>
    <mergeCell ref="C70:C73"/>
    <mergeCell ref="C74:C77"/>
    <mergeCell ref="B82:B85"/>
    <mergeCell ref="B86:B89"/>
    <mergeCell ref="C106:C109"/>
    <mergeCell ref="C110:C113"/>
    <mergeCell ref="C78:C81"/>
    <mergeCell ref="C82:C85"/>
    <mergeCell ref="C86:C89"/>
    <mergeCell ref="C90:C93"/>
    <mergeCell ref="C94:C97"/>
    <mergeCell ref="C98:C101"/>
    <mergeCell ref="C102:C105"/>
  </mergeCells>
  <printOptions/>
  <pageMargins bottom="0.75" footer="0.0" header="0.0" left="0.7" right="0.7" top="0.75"/>
  <pageSetup orientation="portrait"/>
  <drawing r:id="rId1"/>
</worksheet>
</file>